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Documentos Compartilhados\CAMILE\CIA DA MOTO\2026\"/>
    </mc:Choice>
  </mc:AlternateContent>
  <xr:revisionPtr revIDLastSave="0" documentId="13_ncr:1_{3167EC2C-BBDE-4394-AF37-22AEA62CFFBA}" xr6:coauthVersionLast="36" xr6:coauthVersionMax="36" xr10:uidLastSave="{00000000-0000-0000-0000-000000000000}"/>
  <bookViews>
    <workbookView xWindow="2340" yWindow="2340" windowWidth="28800" windowHeight="11385" xr2:uid="{00000000-000D-0000-FFFF-FFFF0000000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" l="1"/>
  <c r="N32" i="1"/>
  <c r="O32" i="1"/>
  <c r="P32" i="1"/>
  <c r="Q32" i="1"/>
  <c r="R3" i="1"/>
  <c r="R4" i="1"/>
  <c r="R5" i="1"/>
  <c r="R6" i="1"/>
  <c r="R7" i="1"/>
  <c r="R8" i="1"/>
  <c r="R9" i="1"/>
  <c r="R10" i="1"/>
  <c r="R11" i="1"/>
  <c r="R28" i="1"/>
  <c r="R29" i="1"/>
  <c r="R30" i="1"/>
  <c r="R32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</calcChain>
</file>

<file path=xl/sharedStrings.xml><?xml version="1.0" encoding="utf-8"?>
<sst xmlns="http://schemas.openxmlformats.org/spreadsheetml/2006/main" count="104" uniqueCount="73">
  <si>
    <t>OS</t>
  </si>
  <si>
    <t>Tipo de Serviço</t>
  </si>
  <si>
    <t>IPVA</t>
  </si>
  <si>
    <t>Multa</t>
  </si>
  <si>
    <t>Assinatura Digital</t>
  </si>
  <si>
    <t>Taxa Registro</t>
  </si>
  <si>
    <t>Comunicação de Venda</t>
  </si>
  <si>
    <t>Vistoria</t>
  </si>
  <si>
    <t>Serviço Despachante (Honorário)</t>
  </si>
  <si>
    <t>TOTAL</t>
  </si>
  <si>
    <t>OBS.</t>
  </si>
  <si>
    <t>Licenciamento</t>
  </si>
  <si>
    <t>CertificadoDigital</t>
  </si>
  <si>
    <t>Data</t>
  </si>
  <si>
    <t>Placa/chassi</t>
  </si>
  <si>
    <t>PLACA</t>
  </si>
  <si>
    <t>CORREIO</t>
  </si>
  <si>
    <t>Marca/Modelo</t>
  </si>
  <si>
    <t>DESP. DE FORA</t>
  </si>
  <si>
    <t>PLANILHA CIA DA MOTO - REF. SERVIÇOS PRESTADOS 12/2025</t>
  </si>
  <si>
    <t>TRANSFERENCIA</t>
  </si>
  <si>
    <t>HONDA/BIZ 125 ES</t>
  </si>
  <si>
    <t>NRR0H31</t>
  </si>
  <si>
    <t>PRIMEIRO EMPLACAMENTO</t>
  </si>
  <si>
    <t>HONDA/BIZ EX</t>
  </si>
  <si>
    <t>TPN9F70</t>
  </si>
  <si>
    <t>SXT8B60</t>
  </si>
  <si>
    <t>HONDA/XRE 300 SAHARA RAL</t>
  </si>
  <si>
    <t>SXS8H50</t>
  </si>
  <si>
    <t>05/12/205</t>
  </si>
  <si>
    <t>HONDA/XR300L TORNADO</t>
  </si>
  <si>
    <t>SXP3A10</t>
  </si>
  <si>
    <t>SXO5A20</t>
  </si>
  <si>
    <t>SXN4E80</t>
  </si>
  <si>
    <t>ATPVE + ASS + COM</t>
  </si>
  <si>
    <t>NSP8A66</t>
  </si>
  <si>
    <t xml:space="preserve">ATPVE </t>
  </si>
  <si>
    <t>YAMAHA/XJ6 F</t>
  </si>
  <si>
    <t>MIP9A66</t>
  </si>
  <si>
    <t>VW/POLO CL AD</t>
  </si>
  <si>
    <t>QTA7B60</t>
  </si>
  <si>
    <t>KAWASAKI/NINJA 300</t>
  </si>
  <si>
    <t>QHU6G31</t>
  </si>
  <si>
    <t>MHH2C48</t>
  </si>
  <si>
    <t>YAMAHA/MT 07 ABS</t>
  </si>
  <si>
    <t>RLL5C76</t>
  </si>
  <si>
    <t>BMW/R1250GS</t>
  </si>
  <si>
    <t>RYR0B77</t>
  </si>
  <si>
    <t>HONDA/FIT LX CVT</t>
  </si>
  <si>
    <t>AZE9A27</t>
  </si>
  <si>
    <t>TQA6H58</t>
  </si>
  <si>
    <t>HONDA/XRE 190 SE</t>
  </si>
  <si>
    <t>RLE3J40</t>
  </si>
  <si>
    <t>HONDA/XRE 190</t>
  </si>
  <si>
    <t>QIX9846</t>
  </si>
  <si>
    <t>HONDA/C100 BIZ ES</t>
  </si>
  <si>
    <t>MBZ1472</t>
  </si>
  <si>
    <t>YAMAHA/MT03 ABS</t>
  </si>
  <si>
    <t>GBW3D09</t>
  </si>
  <si>
    <t>HONDA/BIZ 100 ES</t>
  </si>
  <si>
    <t>MLG8968</t>
  </si>
  <si>
    <t>HONDA/NXR160 BROS ESDD</t>
  </si>
  <si>
    <t>RAG9B24</t>
  </si>
  <si>
    <t>HONDA/CG 160 FAN</t>
  </si>
  <si>
    <t>TQA6G28</t>
  </si>
  <si>
    <t>QIG6D82</t>
  </si>
  <si>
    <t>HONDA/CG 125I FAN</t>
  </si>
  <si>
    <t>QJD8G42</t>
  </si>
  <si>
    <t xml:space="preserve">LICENCIAMENTO NA VISTA </t>
  </si>
  <si>
    <t>EMISSAO DE LICENCIAMENTO</t>
  </si>
  <si>
    <t>MKI0H96</t>
  </si>
  <si>
    <t>HONDA/CB 650F</t>
  </si>
  <si>
    <t>QJJ4I89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</si>
</sst>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&quot;R$&quot;\ #,##0.00"/>
    <numFmt numFmtId="166" formatCode="_-&quot;R$ &quot;* #,##0.00_-;&quot;-R$ &quot;* #,##0.00_-;_-&quot;R$ &quot;* \-??_-;_-@_-"/>
    <numFmt numFmtId="167" formatCode="&quot;R$ &quot;#,##0.00;[Red]&quot;-R$ &quot;#,##0.0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99"/>
        <bgColor indexed="60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9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6" fillId="0" borderId="7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4" fontId="0" fillId="0" borderId="0" xfId="2" applyFont="1"/>
    <xf numFmtId="165" fontId="5" fillId="0" borderId="9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165" fontId="5" fillId="0" borderId="17" xfId="1" applyNumberFormat="1" applyFont="1" applyBorder="1" applyAlignment="1">
      <alignment horizontal="center" vertical="center"/>
    </xf>
    <xf numFmtId="165" fontId="6" fillId="0" borderId="17" xfId="1" applyNumberFormat="1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0" fillId="2" borderId="10" xfId="1" applyFont="1" applyFill="1" applyBorder="1" applyAlignment="1">
      <alignment horizontal="left" vertical="center"/>
    </xf>
    <xf numFmtId="14" fontId="5" fillId="0" borderId="7" xfId="1" applyNumberFormat="1" applyFont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11" fillId="0" borderId="17" xfId="0" applyFont="1" applyBorder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165" fontId="5" fillId="0" borderId="8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64" fontId="2" fillId="5" borderId="28" xfId="1" applyNumberFormat="1" applyFont="1" applyFill="1" applyBorder="1" applyAlignment="1">
      <alignment horizontal="center" vertical="center" wrapText="1"/>
    </xf>
    <xf numFmtId="0" fontId="2" fillId="5" borderId="28" xfId="1" applyFont="1" applyFill="1" applyBorder="1" applyAlignment="1">
      <alignment horizontal="center" vertical="center" wrapText="1"/>
    </xf>
    <xf numFmtId="165" fontId="2" fillId="5" borderId="28" xfId="1" applyNumberFormat="1" applyFont="1" applyFill="1" applyBorder="1" applyAlignment="1">
      <alignment horizontal="center" vertical="center" wrapText="1"/>
    </xf>
    <xf numFmtId="4" fontId="2" fillId="5" borderId="28" xfId="1" applyNumberFormat="1" applyFont="1" applyFill="1" applyBorder="1" applyAlignment="1">
      <alignment horizontal="center" vertical="center" wrapText="1"/>
    </xf>
    <xf numFmtId="4" fontId="2" fillId="5" borderId="29" xfId="1" applyNumberFormat="1" applyFont="1" applyFill="1" applyBorder="1" applyAlignment="1">
      <alignment horizontal="center" vertical="center" wrapText="1"/>
    </xf>
    <xf numFmtId="166" fontId="2" fillId="5" borderId="24" xfId="1" applyNumberFormat="1" applyFont="1" applyFill="1" applyBorder="1" applyAlignment="1">
      <alignment horizontal="center" vertical="center" wrapText="1"/>
    </xf>
    <xf numFmtId="0" fontId="2" fillId="5" borderId="25" xfId="1" applyFont="1" applyFill="1" applyBorder="1" applyAlignment="1">
      <alignment horizontal="center" vertical="center" wrapText="1"/>
    </xf>
    <xf numFmtId="8" fontId="7" fillId="6" borderId="11" xfId="0" applyNumberFormat="1" applyFont="1" applyFill="1" applyBorder="1" applyAlignment="1">
      <alignment horizontal="center" vertical="center"/>
    </xf>
    <xf numFmtId="8" fontId="7" fillId="6" borderId="12" xfId="0" applyNumberFormat="1" applyFont="1" applyFill="1" applyBorder="1" applyAlignment="1">
      <alignment horizontal="center" vertical="center"/>
    </xf>
    <xf numFmtId="165" fontId="8" fillId="6" borderId="13" xfId="0" applyNumberFormat="1" applyFont="1" applyFill="1" applyBorder="1" applyAlignment="1">
      <alignment horizontal="center" vertical="center"/>
    </xf>
    <xf numFmtId="8" fontId="7" fillId="6" borderId="13" xfId="0" applyNumberFormat="1" applyFont="1" applyFill="1" applyBorder="1" applyAlignment="1">
      <alignment horizontal="center" vertical="center"/>
    </xf>
    <xf numFmtId="8" fontId="7" fillId="6" borderId="14" xfId="0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/>
    <xf numFmtId="166" fontId="7" fillId="6" borderId="15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165" fontId="5" fillId="0" borderId="34" xfId="1" applyNumberFormat="1" applyFont="1" applyBorder="1" applyAlignment="1">
      <alignment horizontal="center" vertical="center"/>
    </xf>
    <xf numFmtId="165" fontId="6" fillId="0" borderId="34" xfId="1" applyNumberFormat="1" applyFont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left" vertical="center"/>
    </xf>
    <xf numFmtId="167" fontId="7" fillId="0" borderId="37" xfId="1" applyNumberFormat="1" applyFont="1" applyBorder="1" applyAlignment="1">
      <alignment horizontal="center" vertical="center"/>
    </xf>
    <xf numFmtId="167" fontId="7" fillId="0" borderId="10" xfId="1" applyNumberFormat="1" applyFont="1" applyBorder="1" applyAlignment="1">
      <alignment horizontal="center" vertical="center"/>
    </xf>
    <xf numFmtId="167" fontId="7" fillId="0" borderId="36" xfId="1" applyNumberFormat="1" applyFont="1" applyBorder="1" applyAlignment="1">
      <alignment horizontal="center" vertical="center"/>
    </xf>
    <xf numFmtId="167" fontId="7" fillId="0" borderId="19" xfId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8"/>
  <sheetViews>
    <sheetView tabSelected="1" workbookViewId="0">
      <selection activeCell="A28" sqref="A28"/>
    </sheetView>
  </sheetViews>
  <sheetFormatPr defaultRowHeight="15" x14ac:dyDescent="0.25"/>
  <cols>
    <col min="1" max="1" width="8.42578125" customWidth="1"/>
    <col min="2" max="2" width="11.140625" customWidth="1"/>
    <col min="3" max="3" width="25" customWidth="1"/>
    <col min="4" max="4" width="22.28515625" customWidth="1"/>
    <col min="5" max="5" width="9.85546875" customWidth="1"/>
    <col min="6" max="6" width="12.28515625" style="9" customWidth="1"/>
    <col min="12" max="12" width="9.5703125" customWidth="1"/>
    <col min="13" max="13" width="11" customWidth="1"/>
    <col min="14" max="14" width="9" customWidth="1"/>
    <col min="15" max="15" width="9.85546875" customWidth="1"/>
    <col min="16" max="16" width="11" customWidth="1"/>
    <col min="17" max="17" width="12" customWidth="1"/>
    <col min="18" max="18" width="10.42578125" style="2" bestFit="1" customWidth="1"/>
    <col min="19" max="19" width="34.7109375" customWidth="1"/>
  </cols>
  <sheetData>
    <row r="1" spans="1:19" ht="15.75" thickBot="1" x14ac:dyDescent="0.3">
      <c r="A1" s="61" t="s">
        <v>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</row>
    <row r="2" spans="1:19" ht="39" thickBot="1" x14ac:dyDescent="0.3">
      <c r="A2" s="34" t="s">
        <v>0</v>
      </c>
      <c r="B2" s="35" t="s">
        <v>13</v>
      </c>
      <c r="C2" s="36" t="s">
        <v>1</v>
      </c>
      <c r="D2" s="36" t="s">
        <v>17</v>
      </c>
      <c r="E2" s="37" t="s">
        <v>14</v>
      </c>
      <c r="F2" s="37" t="s">
        <v>11</v>
      </c>
      <c r="G2" s="38" t="s">
        <v>2</v>
      </c>
      <c r="H2" s="38" t="s">
        <v>3</v>
      </c>
      <c r="I2" s="38" t="s">
        <v>15</v>
      </c>
      <c r="J2" s="38" t="s">
        <v>7</v>
      </c>
      <c r="K2" s="38" t="s">
        <v>16</v>
      </c>
      <c r="L2" s="39" t="s">
        <v>12</v>
      </c>
      <c r="M2" s="39" t="s">
        <v>6</v>
      </c>
      <c r="N2" s="39" t="s">
        <v>4</v>
      </c>
      <c r="O2" s="39" t="s">
        <v>18</v>
      </c>
      <c r="P2" s="39" t="s">
        <v>5</v>
      </c>
      <c r="Q2" s="40" t="s">
        <v>8</v>
      </c>
      <c r="R2" s="41" t="s">
        <v>9</v>
      </c>
      <c r="S2" s="42" t="s">
        <v>10</v>
      </c>
    </row>
    <row r="3" spans="1:19" ht="13.5" customHeight="1" x14ac:dyDescent="0.25">
      <c r="A3" s="26">
        <v>98910</v>
      </c>
      <c r="B3" s="27">
        <v>45993</v>
      </c>
      <c r="C3" s="33" t="s">
        <v>20</v>
      </c>
      <c r="D3" s="33" t="s">
        <v>21</v>
      </c>
      <c r="E3" s="28" t="s">
        <v>22</v>
      </c>
      <c r="F3" s="29"/>
      <c r="G3" s="29"/>
      <c r="H3" s="29"/>
      <c r="I3" s="29"/>
      <c r="J3" s="30"/>
      <c r="K3" s="29"/>
      <c r="L3" s="29"/>
      <c r="M3" s="29"/>
      <c r="N3" s="29"/>
      <c r="O3" s="29"/>
      <c r="P3" s="29">
        <v>183.12</v>
      </c>
      <c r="Q3" s="31">
        <v>60</v>
      </c>
      <c r="R3" s="57">
        <f t="shared" ref="R3:R30" si="0">SUM(M3:Q3)</f>
        <v>243.12</v>
      </c>
      <c r="S3" s="19"/>
    </row>
    <row r="4" spans="1:19" x14ac:dyDescent="0.25">
      <c r="A4" s="3">
        <v>99788</v>
      </c>
      <c r="B4" s="17">
        <v>46020</v>
      </c>
      <c r="C4" s="11" t="s">
        <v>23</v>
      </c>
      <c r="D4" s="4" t="s">
        <v>24</v>
      </c>
      <c r="E4" s="23" t="s">
        <v>25</v>
      </c>
      <c r="F4" s="5"/>
      <c r="G4" s="5"/>
      <c r="H4" s="5"/>
      <c r="I4" s="5"/>
      <c r="J4" s="6"/>
      <c r="K4" s="5"/>
      <c r="L4" s="5"/>
      <c r="M4" s="5"/>
      <c r="N4" s="5"/>
      <c r="O4" s="5"/>
      <c r="P4" s="5">
        <v>183.12</v>
      </c>
      <c r="Q4" s="10">
        <v>60</v>
      </c>
      <c r="R4" s="58">
        <f t="shared" si="0"/>
        <v>243.12</v>
      </c>
      <c r="S4" s="20"/>
    </row>
    <row r="5" spans="1:19" x14ac:dyDescent="0.25">
      <c r="A5" s="3">
        <v>99302</v>
      </c>
      <c r="B5" s="17">
        <v>46006</v>
      </c>
      <c r="C5" s="4" t="s">
        <v>23</v>
      </c>
      <c r="D5" s="4" t="s">
        <v>24</v>
      </c>
      <c r="E5" s="4" t="s">
        <v>26</v>
      </c>
      <c r="F5" s="5"/>
      <c r="G5" s="5"/>
      <c r="H5" s="5"/>
      <c r="I5" s="5"/>
      <c r="J5" s="6"/>
      <c r="K5" s="5"/>
      <c r="L5" s="5"/>
      <c r="M5" s="5"/>
      <c r="N5" s="5"/>
      <c r="O5" s="5"/>
      <c r="P5" s="5">
        <v>183.12</v>
      </c>
      <c r="Q5" s="10">
        <v>60</v>
      </c>
      <c r="R5" s="58">
        <f t="shared" si="0"/>
        <v>243.12</v>
      </c>
      <c r="S5" s="22"/>
    </row>
    <row r="6" spans="1:19" x14ac:dyDescent="0.25">
      <c r="A6" s="3">
        <v>99237</v>
      </c>
      <c r="B6" s="17">
        <v>46003</v>
      </c>
      <c r="C6" s="4" t="s">
        <v>23</v>
      </c>
      <c r="D6" s="4" t="s">
        <v>27</v>
      </c>
      <c r="E6" s="4" t="s">
        <v>28</v>
      </c>
      <c r="F6" s="5"/>
      <c r="G6" s="5"/>
      <c r="H6" s="5"/>
      <c r="I6" s="5"/>
      <c r="J6" s="6"/>
      <c r="K6" s="5"/>
      <c r="L6" s="5"/>
      <c r="M6" s="5"/>
      <c r="N6" s="5"/>
      <c r="O6" s="5"/>
      <c r="P6" s="5">
        <v>183.12</v>
      </c>
      <c r="Q6" s="10">
        <v>60</v>
      </c>
      <c r="R6" s="58">
        <f t="shared" si="0"/>
        <v>243.12</v>
      </c>
      <c r="S6" s="22"/>
    </row>
    <row r="7" spans="1:19" x14ac:dyDescent="0.25">
      <c r="A7" s="3">
        <v>99068</v>
      </c>
      <c r="B7" s="17" t="s">
        <v>29</v>
      </c>
      <c r="C7" s="4" t="s">
        <v>23</v>
      </c>
      <c r="D7" s="4" t="s">
        <v>30</v>
      </c>
      <c r="E7" s="4" t="s">
        <v>31</v>
      </c>
      <c r="F7" s="5"/>
      <c r="G7" s="5"/>
      <c r="H7" s="5"/>
      <c r="I7" s="5"/>
      <c r="J7" s="6"/>
      <c r="K7" s="5"/>
      <c r="L7" s="5"/>
      <c r="M7" s="5"/>
      <c r="N7" s="5"/>
      <c r="O7" s="5"/>
      <c r="P7" s="5">
        <v>183.12</v>
      </c>
      <c r="Q7" s="10">
        <v>60</v>
      </c>
      <c r="R7" s="58">
        <f t="shared" si="0"/>
        <v>243.12</v>
      </c>
      <c r="S7" s="22"/>
    </row>
    <row r="8" spans="1:19" x14ac:dyDescent="0.25">
      <c r="A8" s="3">
        <v>98999</v>
      </c>
      <c r="B8" s="17">
        <v>45995</v>
      </c>
      <c r="C8" s="4" t="s">
        <v>23</v>
      </c>
      <c r="D8" s="4" t="s">
        <v>24</v>
      </c>
      <c r="E8" s="4" t="s">
        <v>32</v>
      </c>
      <c r="F8" s="5"/>
      <c r="G8" s="5"/>
      <c r="H8" s="5"/>
      <c r="I8" s="5"/>
      <c r="J8" s="6"/>
      <c r="K8" s="5"/>
      <c r="L8" s="5"/>
      <c r="M8" s="5"/>
      <c r="N8" s="5"/>
      <c r="O8" s="5"/>
      <c r="P8" s="5">
        <v>183.12</v>
      </c>
      <c r="Q8" s="10">
        <v>60</v>
      </c>
      <c r="R8" s="58">
        <f t="shared" si="0"/>
        <v>243.12</v>
      </c>
      <c r="S8" s="22"/>
    </row>
    <row r="9" spans="1:19" x14ac:dyDescent="0.25">
      <c r="A9" s="3">
        <v>98881</v>
      </c>
      <c r="B9" s="17">
        <v>45993</v>
      </c>
      <c r="C9" s="4" t="s">
        <v>23</v>
      </c>
      <c r="D9" s="4" t="s">
        <v>24</v>
      </c>
      <c r="E9" s="4" t="s">
        <v>33</v>
      </c>
      <c r="F9" s="5"/>
      <c r="G9" s="5"/>
      <c r="H9" s="5"/>
      <c r="I9" s="5"/>
      <c r="J9" s="6"/>
      <c r="K9" s="5"/>
      <c r="L9" s="5"/>
      <c r="M9" s="5"/>
      <c r="N9" s="5"/>
      <c r="O9" s="5"/>
      <c r="P9" s="5">
        <v>183.12</v>
      </c>
      <c r="Q9" s="10">
        <v>60</v>
      </c>
      <c r="R9" s="58">
        <f t="shared" si="0"/>
        <v>243.12</v>
      </c>
      <c r="S9" s="20"/>
    </row>
    <row r="10" spans="1:19" x14ac:dyDescent="0.25">
      <c r="A10" s="3">
        <v>99390</v>
      </c>
      <c r="B10" s="17">
        <v>46007</v>
      </c>
      <c r="C10" s="4" t="s">
        <v>34</v>
      </c>
      <c r="D10" s="32"/>
      <c r="E10" s="24" t="s">
        <v>35</v>
      </c>
      <c r="F10" s="5"/>
      <c r="G10" s="5"/>
      <c r="H10" s="5"/>
      <c r="I10" s="5"/>
      <c r="J10" s="6"/>
      <c r="K10" s="5"/>
      <c r="L10" s="5"/>
      <c r="M10" s="5"/>
      <c r="N10" s="5"/>
      <c r="O10" s="5">
        <v>300</v>
      </c>
      <c r="P10" s="5"/>
      <c r="Q10" s="10">
        <v>66</v>
      </c>
      <c r="R10" s="58">
        <f t="shared" si="0"/>
        <v>366</v>
      </c>
      <c r="S10" s="20"/>
    </row>
    <row r="11" spans="1:19" x14ac:dyDescent="0.25">
      <c r="A11" s="3">
        <v>99421</v>
      </c>
      <c r="B11" s="17">
        <v>46008</v>
      </c>
      <c r="C11" s="4" t="s">
        <v>36</v>
      </c>
      <c r="D11" s="4" t="s">
        <v>37</v>
      </c>
      <c r="E11" s="4" t="s">
        <v>38</v>
      </c>
      <c r="F11" s="5"/>
      <c r="G11" s="5"/>
      <c r="H11" s="5"/>
      <c r="I11" s="5"/>
      <c r="J11" s="6"/>
      <c r="K11" s="5"/>
      <c r="L11" s="5"/>
      <c r="M11" s="5"/>
      <c r="N11" s="5"/>
      <c r="O11" s="5"/>
      <c r="P11" s="5"/>
      <c r="Q11" s="10">
        <v>40</v>
      </c>
      <c r="R11" s="58">
        <f t="shared" si="0"/>
        <v>40</v>
      </c>
      <c r="S11" s="20"/>
    </row>
    <row r="12" spans="1:19" x14ac:dyDescent="0.25">
      <c r="A12" s="3">
        <v>99654</v>
      </c>
      <c r="B12" s="17">
        <v>46014</v>
      </c>
      <c r="C12" s="4" t="s">
        <v>34</v>
      </c>
      <c r="D12" s="4" t="s">
        <v>39</v>
      </c>
      <c r="E12" s="4" t="s">
        <v>40</v>
      </c>
      <c r="F12" s="5"/>
      <c r="G12" s="5"/>
      <c r="H12" s="5"/>
      <c r="I12" s="5"/>
      <c r="J12" s="6"/>
      <c r="K12" s="5"/>
      <c r="L12" s="5"/>
      <c r="M12" s="5">
        <v>17</v>
      </c>
      <c r="N12" s="5">
        <v>9</v>
      </c>
      <c r="O12" s="5"/>
      <c r="P12" s="5"/>
      <c r="Q12" s="10">
        <v>40</v>
      </c>
      <c r="R12" s="58">
        <f t="shared" si="0"/>
        <v>66</v>
      </c>
      <c r="S12" s="20"/>
    </row>
    <row r="13" spans="1:19" x14ac:dyDescent="0.25">
      <c r="A13" s="3">
        <v>99657</v>
      </c>
      <c r="B13" s="17">
        <v>46014</v>
      </c>
      <c r="C13" s="4" t="s">
        <v>34</v>
      </c>
      <c r="D13" s="4" t="s">
        <v>41</v>
      </c>
      <c r="E13" s="4" t="s">
        <v>42</v>
      </c>
      <c r="F13" s="5"/>
      <c r="G13" s="5"/>
      <c r="H13" s="5"/>
      <c r="I13" s="5"/>
      <c r="J13" s="6"/>
      <c r="K13" s="5"/>
      <c r="L13" s="5"/>
      <c r="M13" s="5">
        <v>17</v>
      </c>
      <c r="N13" s="5">
        <v>9</v>
      </c>
      <c r="O13" s="5"/>
      <c r="P13" s="5"/>
      <c r="Q13" s="10">
        <v>40</v>
      </c>
      <c r="R13" s="58">
        <f t="shared" si="0"/>
        <v>66</v>
      </c>
      <c r="S13" s="20"/>
    </row>
    <row r="14" spans="1:19" x14ac:dyDescent="0.25">
      <c r="A14" s="3">
        <v>99638</v>
      </c>
      <c r="B14" s="17">
        <v>46014</v>
      </c>
      <c r="C14" s="4" t="s">
        <v>34</v>
      </c>
      <c r="D14" s="4" t="s">
        <v>21</v>
      </c>
      <c r="E14" s="4" t="s">
        <v>43</v>
      </c>
      <c r="F14" s="5"/>
      <c r="G14" s="5"/>
      <c r="H14" s="5"/>
      <c r="I14" s="5"/>
      <c r="J14" s="6"/>
      <c r="K14" s="5"/>
      <c r="L14" s="5"/>
      <c r="M14" s="5">
        <v>17</v>
      </c>
      <c r="N14" s="5">
        <v>9</v>
      </c>
      <c r="O14" s="5"/>
      <c r="P14" s="5"/>
      <c r="Q14" s="10">
        <v>40</v>
      </c>
      <c r="R14" s="58">
        <f t="shared" si="0"/>
        <v>66</v>
      </c>
      <c r="S14" s="20"/>
    </row>
    <row r="15" spans="1:19" x14ac:dyDescent="0.25">
      <c r="A15" s="3">
        <v>99387</v>
      </c>
      <c r="B15" s="17">
        <v>46007</v>
      </c>
      <c r="C15" s="4" t="s">
        <v>34</v>
      </c>
      <c r="D15" s="4" t="s">
        <v>44</v>
      </c>
      <c r="E15" s="4" t="s">
        <v>45</v>
      </c>
      <c r="F15" s="5"/>
      <c r="G15" s="5"/>
      <c r="H15" s="5"/>
      <c r="I15" s="5"/>
      <c r="J15" s="6"/>
      <c r="K15" s="5"/>
      <c r="L15" s="5"/>
      <c r="M15" s="5">
        <v>17</v>
      </c>
      <c r="N15" s="5">
        <v>9</v>
      </c>
      <c r="O15" s="5"/>
      <c r="P15" s="5"/>
      <c r="Q15" s="10">
        <v>40</v>
      </c>
      <c r="R15" s="58">
        <f t="shared" si="0"/>
        <v>66</v>
      </c>
      <c r="S15" s="20"/>
    </row>
    <row r="16" spans="1:19" x14ac:dyDescent="0.25">
      <c r="A16" s="3">
        <v>99368</v>
      </c>
      <c r="B16" s="17">
        <v>46007</v>
      </c>
      <c r="C16" s="4" t="s">
        <v>34</v>
      </c>
      <c r="D16" s="4" t="s">
        <v>46</v>
      </c>
      <c r="E16" s="4" t="s">
        <v>47</v>
      </c>
      <c r="F16" s="5"/>
      <c r="G16" s="5"/>
      <c r="H16" s="5"/>
      <c r="I16" s="5"/>
      <c r="J16" s="6"/>
      <c r="K16" s="5"/>
      <c r="L16" s="5"/>
      <c r="M16" s="5">
        <v>17</v>
      </c>
      <c r="N16" s="5">
        <v>9</v>
      </c>
      <c r="O16" s="5"/>
      <c r="P16" s="5"/>
      <c r="Q16" s="10">
        <v>40</v>
      </c>
      <c r="R16" s="58">
        <f t="shared" si="0"/>
        <v>66</v>
      </c>
      <c r="S16" s="20"/>
    </row>
    <row r="17" spans="1:19" x14ac:dyDescent="0.25">
      <c r="A17" s="3">
        <v>99365</v>
      </c>
      <c r="B17" s="17">
        <v>46007</v>
      </c>
      <c r="C17" s="4" t="s">
        <v>34</v>
      </c>
      <c r="D17" s="4" t="s">
        <v>48</v>
      </c>
      <c r="E17" s="4" t="s">
        <v>49</v>
      </c>
      <c r="F17" s="5"/>
      <c r="G17" s="5"/>
      <c r="H17" s="5"/>
      <c r="I17" s="5"/>
      <c r="J17" s="6"/>
      <c r="K17" s="5"/>
      <c r="L17" s="5"/>
      <c r="M17" s="5">
        <v>17</v>
      </c>
      <c r="N17" s="5">
        <v>9</v>
      </c>
      <c r="O17" s="5"/>
      <c r="P17" s="5"/>
      <c r="Q17" s="10">
        <v>40</v>
      </c>
      <c r="R17" s="58">
        <f t="shared" si="0"/>
        <v>66</v>
      </c>
      <c r="S17" s="20"/>
    </row>
    <row r="18" spans="1:19" x14ac:dyDescent="0.25">
      <c r="A18" s="3">
        <v>99357</v>
      </c>
      <c r="B18" s="17">
        <v>46007</v>
      </c>
      <c r="C18" s="4" t="s">
        <v>34</v>
      </c>
      <c r="D18" s="4" t="s">
        <v>30</v>
      </c>
      <c r="E18" s="4" t="s">
        <v>50</v>
      </c>
      <c r="F18" s="5"/>
      <c r="G18" s="5"/>
      <c r="H18" s="5"/>
      <c r="I18" s="5"/>
      <c r="J18" s="6"/>
      <c r="K18" s="5"/>
      <c r="L18" s="5"/>
      <c r="M18" s="5">
        <v>17</v>
      </c>
      <c r="N18" s="5">
        <v>9</v>
      </c>
      <c r="O18" s="5"/>
      <c r="P18" s="5"/>
      <c r="Q18" s="10">
        <v>40</v>
      </c>
      <c r="R18" s="58">
        <f t="shared" si="0"/>
        <v>66</v>
      </c>
      <c r="S18" s="20"/>
    </row>
    <row r="19" spans="1:19" x14ac:dyDescent="0.25">
      <c r="A19" s="3">
        <v>99353</v>
      </c>
      <c r="B19" s="17">
        <v>46007</v>
      </c>
      <c r="C19" s="4" t="s">
        <v>34</v>
      </c>
      <c r="D19" s="4" t="s">
        <v>51</v>
      </c>
      <c r="E19" s="4" t="s">
        <v>52</v>
      </c>
      <c r="F19" s="5"/>
      <c r="G19" s="5"/>
      <c r="H19" s="5"/>
      <c r="I19" s="5"/>
      <c r="J19" s="6"/>
      <c r="K19" s="5"/>
      <c r="L19" s="5"/>
      <c r="M19" s="5">
        <v>17</v>
      </c>
      <c r="N19" s="5">
        <v>9</v>
      </c>
      <c r="O19" s="5"/>
      <c r="P19" s="5"/>
      <c r="Q19" s="10">
        <v>40</v>
      </c>
      <c r="R19" s="58">
        <f t="shared" si="0"/>
        <v>66</v>
      </c>
      <c r="S19" s="20"/>
    </row>
    <row r="20" spans="1:19" x14ac:dyDescent="0.25">
      <c r="A20" s="3">
        <v>99260</v>
      </c>
      <c r="B20" s="17">
        <v>46003</v>
      </c>
      <c r="C20" s="4" t="s">
        <v>34</v>
      </c>
      <c r="D20" s="4" t="s">
        <v>53</v>
      </c>
      <c r="E20" s="4" t="s">
        <v>54</v>
      </c>
      <c r="F20" s="5"/>
      <c r="G20" s="5"/>
      <c r="H20" s="5"/>
      <c r="I20" s="5"/>
      <c r="J20" s="6"/>
      <c r="K20" s="5"/>
      <c r="L20" s="5"/>
      <c r="M20" s="5">
        <v>17</v>
      </c>
      <c r="N20" s="5">
        <v>9</v>
      </c>
      <c r="O20" s="5"/>
      <c r="P20" s="5"/>
      <c r="Q20" s="10">
        <v>40</v>
      </c>
      <c r="R20" s="58">
        <f t="shared" si="0"/>
        <v>66</v>
      </c>
      <c r="S20" s="20"/>
    </row>
    <row r="21" spans="1:19" x14ac:dyDescent="0.25">
      <c r="A21" s="3">
        <v>99242</v>
      </c>
      <c r="B21" s="17">
        <v>46003</v>
      </c>
      <c r="C21" s="4" t="s">
        <v>34</v>
      </c>
      <c r="D21" s="4" t="s">
        <v>55</v>
      </c>
      <c r="E21" s="4" t="s">
        <v>56</v>
      </c>
      <c r="F21" s="5"/>
      <c r="G21" s="5"/>
      <c r="H21" s="5"/>
      <c r="I21" s="5"/>
      <c r="J21" s="6"/>
      <c r="K21" s="5"/>
      <c r="L21" s="5"/>
      <c r="M21" s="5">
        <v>17</v>
      </c>
      <c r="N21" s="5">
        <v>9</v>
      </c>
      <c r="O21" s="5"/>
      <c r="P21" s="5"/>
      <c r="Q21" s="10">
        <v>40</v>
      </c>
      <c r="R21" s="58">
        <f t="shared" si="0"/>
        <v>66</v>
      </c>
      <c r="S21" s="20"/>
    </row>
    <row r="22" spans="1:19" x14ac:dyDescent="0.25">
      <c r="A22" s="3">
        <v>99145</v>
      </c>
      <c r="B22" s="17">
        <v>46001</v>
      </c>
      <c r="C22" s="4" t="s">
        <v>34</v>
      </c>
      <c r="D22" s="4" t="s">
        <v>57</v>
      </c>
      <c r="E22" s="4" t="s">
        <v>58</v>
      </c>
      <c r="F22" s="5"/>
      <c r="G22" s="5"/>
      <c r="H22" s="5"/>
      <c r="I22" s="5"/>
      <c r="J22" s="6"/>
      <c r="K22" s="5"/>
      <c r="L22" s="5"/>
      <c r="M22" s="5">
        <v>17</v>
      </c>
      <c r="N22" s="5">
        <v>9</v>
      </c>
      <c r="O22" s="5"/>
      <c r="P22" s="5"/>
      <c r="Q22" s="10">
        <v>40</v>
      </c>
      <c r="R22" s="58">
        <f t="shared" si="0"/>
        <v>66</v>
      </c>
      <c r="S22" s="20"/>
    </row>
    <row r="23" spans="1:19" x14ac:dyDescent="0.25">
      <c r="A23" s="3">
        <v>99112</v>
      </c>
      <c r="B23" s="17">
        <v>46000</v>
      </c>
      <c r="C23" s="4" t="s">
        <v>34</v>
      </c>
      <c r="D23" s="4" t="s">
        <v>59</v>
      </c>
      <c r="E23" s="4" t="s">
        <v>60</v>
      </c>
      <c r="F23" s="5"/>
      <c r="G23" s="5"/>
      <c r="H23" s="5"/>
      <c r="I23" s="5"/>
      <c r="J23" s="6"/>
      <c r="K23" s="5"/>
      <c r="L23" s="5"/>
      <c r="M23" s="5">
        <v>17</v>
      </c>
      <c r="N23" s="5">
        <v>9</v>
      </c>
      <c r="O23" s="5"/>
      <c r="P23" s="5"/>
      <c r="Q23" s="10">
        <v>40</v>
      </c>
      <c r="R23" s="58">
        <f t="shared" si="0"/>
        <v>66</v>
      </c>
      <c r="S23" s="20"/>
    </row>
    <row r="24" spans="1:19" ht="15.75" customHeight="1" x14ac:dyDescent="0.25">
      <c r="A24" s="3">
        <v>99091</v>
      </c>
      <c r="B24" s="17">
        <v>45999</v>
      </c>
      <c r="C24" s="4" t="s">
        <v>34</v>
      </c>
      <c r="D24" s="4" t="s">
        <v>61</v>
      </c>
      <c r="E24" s="4" t="s">
        <v>62</v>
      </c>
      <c r="F24" s="5"/>
      <c r="G24" s="5"/>
      <c r="H24" s="5"/>
      <c r="I24" s="5"/>
      <c r="J24" s="6"/>
      <c r="K24" s="5"/>
      <c r="L24" s="5"/>
      <c r="M24" s="5">
        <v>17</v>
      </c>
      <c r="N24" s="5">
        <v>9</v>
      </c>
      <c r="O24" s="5"/>
      <c r="P24" s="5"/>
      <c r="Q24" s="10">
        <v>40</v>
      </c>
      <c r="R24" s="58">
        <f t="shared" si="0"/>
        <v>66</v>
      </c>
      <c r="S24" s="20"/>
    </row>
    <row r="25" spans="1:19" ht="15.75" customHeight="1" x14ac:dyDescent="0.25">
      <c r="A25" s="3">
        <v>99090</v>
      </c>
      <c r="B25" s="17">
        <v>45999</v>
      </c>
      <c r="C25" s="4" t="s">
        <v>34</v>
      </c>
      <c r="D25" s="4" t="s">
        <v>63</v>
      </c>
      <c r="E25" s="4" t="s">
        <v>64</v>
      </c>
      <c r="F25" s="5"/>
      <c r="G25" s="5"/>
      <c r="H25" s="5"/>
      <c r="I25" s="5"/>
      <c r="J25" s="6"/>
      <c r="K25" s="5"/>
      <c r="L25" s="5"/>
      <c r="M25" s="5">
        <v>17</v>
      </c>
      <c r="N25" s="5">
        <v>9</v>
      </c>
      <c r="O25" s="5"/>
      <c r="P25" s="5"/>
      <c r="Q25" s="10">
        <v>40</v>
      </c>
      <c r="R25" s="58">
        <f t="shared" si="0"/>
        <v>66</v>
      </c>
      <c r="S25" s="20"/>
    </row>
    <row r="26" spans="1:19" ht="15.75" customHeight="1" x14ac:dyDescent="0.25">
      <c r="A26" s="3">
        <v>98935</v>
      </c>
      <c r="B26" s="17">
        <v>45994</v>
      </c>
      <c r="C26" s="4" t="s">
        <v>34</v>
      </c>
      <c r="D26" s="4" t="s">
        <v>59</v>
      </c>
      <c r="E26" s="4" t="s">
        <v>65</v>
      </c>
      <c r="F26" s="5"/>
      <c r="G26" s="5"/>
      <c r="H26" s="5"/>
      <c r="I26" s="5"/>
      <c r="J26" s="6"/>
      <c r="K26" s="5"/>
      <c r="L26" s="5"/>
      <c r="M26" s="5">
        <v>17</v>
      </c>
      <c r="N26" s="5">
        <v>9</v>
      </c>
      <c r="O26" s="5"/>
      <c r="P26" s="5"/>
      <c r="Q26" s="10">
        <v>40</v>
      </c>
      <c r="R26" s="58">
        <f t="shared" si="0"/>
        <v>66</v>
      </c>
      <c r="S26" s="20"/>
    </row>
    <row r="27" spans="1:19" x14ac:dyDescent="0.25">
      <c r="A27" s="3">
        <v>98933</v>
      </c>
      <c r="B27" s="17">
        <v>45994</v>
      </c>
      <c r="C27" s="4" t="s">
        <v>34</v>
      </c>
      <c r="D27" s="4" t="s">
        <v>66</v>
      </c>
      <c r="E27" s="4" t="s">
        <v>67</v>
      </c>
      <c r="F27" s="5"/>
      <c r="G27" s="5"/>
      <c r="H27" s="5"/>
      <c r="I27" s="5"/>
      <c r="J27" s="6"/>
      <c r="K27" s="5"/>
      <c r="L27" s="5"/>
      <c r="M27" s="5">
        <v>17</v>
      </c>
      <c r="N27" s="5">
        <v>9</v>
      </c>
      <c r="O27" s="5"/>
      <c r="P27" s="5"/>
      <c r="Q27" s="10">
        <v>40</v>
      </c>
      <c r="R27" s="58">
        <f t="shared" si="0"/>
        <v>66</v>
      </c>
      <c r="S27" s="20"/>
    </row>
    <row r="28" spans="1:19" x14ac:dyDescent="0.25">
      <c r="A28" s="3">
        <v>98882</v>
      </c>
      <c r="B28" s="17">
        <v>45993</v>
      </c>
      <c r="C28" s="4" t="s">
        <v>68</v>
      </c>
      <c r="D28" s="4" t="s">
        <v>59</v>
      </c>
      <c r="E28" s="4" t="s">
        <v>60</v>
      </c>
      <c r="F28" s="5"/>
      <c r="G28" s="5"/>
      <c r="H28" s="5"/>
      <c r="I28" s="5"/>
      <c r="J28" s="6"/>
      <c r="K28" s="5"/>
      <c r="L28" s="5"/>
      <c r="M28" s="5"/>
      <c r="N28" s="5"/>
      <c r="O28" s="5"/>
      <c r="P28" s="5"/>
      <c r="Q28" s="10">
        <v>30</v>
      </c>
      <c r="R28" s="58">
        <f t="shared" si="0"/>
        <v>30</v>
      </c>
      <c r="S28" s="22"/>
    </row>
    <row r="29" spans="1:19" x14ac:dyDescent="0.25">
      <c r="A29" s="50">
        <v>99288</v>
      </c>
      <c r="B29" s="51">
        <v>46004</v>
      </c>
      <c r="C29" s="52" t="s">
        <v>69</v>
      </c>
      <c r="D29" s="52" t="s">
        <v>21</v>
      </c>
      <c r="E29" s="52" t="s">
        <v>70</v>
      </c>
      <c r="F29" s="53"/>
      <c r="G29" s="53"/>
      <c r="H29" s="53"/>
      <c r="I29" s="53"/>
      <c r="J29" s="54"/>
      <c r="K29" s="53"/>
      <c r="L29" s="53"/>
      <c r="M29" s="53"/>
      <c r="N29" s="53"/>
      <c r="O29" s="53"/>
      <c r="P29" s="53"/>
      <c r="Q29" s="55">
        <v>30</v>
      </c>
      <c r="R29" s="59">
        <f t="shared" si="0"/>
        <v>30</v>
      </c>
      <c r="S29" s="56"/>
    </row>
    <row r="30" spans="1:19" x14ac:dyDescent="0.25">
      <c r="A30" s="50">
        <v>99755</v>
      </c>
      <c r="B30" s="51">
        <v>46020</v>
      </c>
      <c r="C30" s="52" t="s">
        <v>69</v>
      </c>
      <c r="D30" s="52" t="s">
        <v>71</v>
      </c>
      <c r="E30" s="52" t="s">
        <v>72</v>
      </c>
      <c r="F30" s="53"/>
      <c r="G30" s="53"/>
      <c r="H30" s="53"/>
      <c r="I30" s="53"/>
      <c r="J30" s="54"/>
      <c r="K30" s="53"/>
      <c r="L30" s="53"/>
      <c r="M30" s="53"/>
      <c r="N30" s="53"/>
      <c r="O30" s="53">
        <v>40</v>
      </c>
      <c r="P30" s="53"/>
      <c r="Q30" s="55">
        <v>30</v>
      </c>
      <c r="R30" s="59">
        <f t="shared" si="0"/>
        <v>70</v>
      </c>
      <c r="S30" s="56"/>
    </row>
    <row r="31" spans="1:19" ht="15.75" thickBot="1" x14ac:dyDescent="0.3">
      <c r="A31" s="12"/>
      <c r="B31" s="18"/>
      <c r="C31" s="13"/>
      <c r="D31" s="13"/>
      <c r="E31" s="13"/>
      <c r="F31" s="14"/>
      <c r="G31" s="14"/>
      <c r="H31" s="14"/>
      <c r="I31" s="14"/>
      <c r="J31" s="15"/>
      <c r="K31" s="14"/>
      <c r="L31" s="14"/>
      <c r="M31" s="14"/>
      <c r="N31" s="14"/>
      <c r="O31" s="25"/>
      <c r="P31" s="14"/>
      <c r="Q31" s="16"/>
      <c r="R31" s="60"/>
      <c r="S31" s="21"/>
    </row>
    <row r="32" spans="1:19" ht="15.75" thickBot="1" x14ac:dyDescent="0.3">
      <c r="A32" s="7"/>
      <c r="B32" s="7"/>
      <c r="C32" s="7"/>
      <c r="D32" s="7"/>
      <c r="E32" s="7"/>
      <c r="F32" s="43"/>
      <c r="G32" s="44"/>
      <c r="H32" s="44"/>
      <c r="I32" s="44"/>
      <c r="J32" s="45"/>
      <c r="K32" s="46"/>
      <c r="L32" s="46"/>
      <c r="M32" s="46">
        <f>SUM(M3:M31)</f>
        <v>272</v>
      </c>
      <c r="N32" s="46">
        <f>SUM(N3:N31)</f>
        <v>144</v>
      </c>
      <c r="O32" s="46">
        <f>SUM(O3:O31)</f>
        <v>340</v>
      </c>
      <c r="P32" s="46">
        <f>SUM(P3:P31)</f>
        <v>1281.8400000000001</v>
      </c>
      <c r="Q32" s="47">
        <f>SUM(Q3:Q31)</f>
        <v>1256</v>
      </c>
      <c r="R32" s="49">
        <f>SUM(M32:Q32)</f>
        <v>3293.84</v>
      </c>
      <c r="S32" s="8"/>
    </row>
    <row r="33" spans="1:16" x14ac:dyDescent="0.25">
      <c r="A33" s="1"/>
      <c r="B33" s="1"/>
    </row>
    <row r="36" spans="1:16" x14ac:dyDescent="0.25"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5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</sheetData>
  <mergeCells count="1">
    <mergeCell ref="A1:S1"/>
  </mergeCells>
  <pageMargins left="0.25" right="0.25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TERMINAL10</dc:creator>
  <cp:lastModifiedBy>User</cp:lastModifiedBy>
  <cp:lastPrinted>2026-01-07T13:20:45Z</cp:lastPrinted>
  <dcterms:created xsi:type="dcterms:W3CDTF">2025-06-18T19:16:46Z</dcterms:created>
  <dcterms:modified xsi:type="dcterms:W3CDTF">2026-02-02T14:44:16Z</dcterms:modified>
</cp:coreProperties>
</file>