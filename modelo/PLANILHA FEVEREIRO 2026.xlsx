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Documentos Compartilhados\FINANCEIRO\CAMILE\CIA DA MOTO\2026\"/>
    </mc:Choice>
  </mc:AlternateContent>
  <xr:revisionPtr revIDLastSave="0" documentId="13_ncr:1_{4345B5F7-F9C6-48F2-8A45-2869550568CC}" xr6:coauthVersionLast="36" xr6:coauthVersionMax="36" xr10:uidLastSave="{00000000-0000-0000-0000-000000000000}"/>
  <bookViews>
    <workbookView xWindow="2340" yWindow="2340" windowWidth="28800" windowHeight="11385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0" i="1" l="1"/>
  <c r="L50" i="1"/>
  <c r="M50" i="1"/>
  <c r="N50" i="1"/>
  <c r="O50" i="1"/>
  <c r="P50" i="1"/>
  <c r="Q50" i="1"/>
  <c r="R44" i="1"/>
  <c r="R45" i="1"/>
  <c r="R46" i="1"/>
  <c r="R47" i="1"/>
  <c r="R43" i="1"/>
  <c r="R50" i="1" l="1"/>
  <c r="R3" i="1"/>
  <c r="R4" i="1"/>
  <c r="R5" i="1"/>
  <c r="R6" i="1"/>
  <c r="R7" i="1"/>
  <c r="R8" i="1"/>
  <c r="R9" i="1"/>
  <c r="R10" i="1"/>
  <c r="R11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12" i="1"/>
</calcChain>
</file>

<file path=xl/sharedStrings.xml><?xml version="1.0" encoding="utf-8"?>
<sst xmlns="http://schemas.openxmlformats.org/spreadsheetml/2006/main" count="154" uniqueCount="95">
  <si>
    <t>OS</t>
  </si>
  <si>
    <t>Tipo de Serviço</t>
  </si>
  <si>
    <t>IPVA</t>
  </si>
  <si>
    <t>Multa</t>
  </si>
  <si>
    <t>Assinatura Digital</t>
  </si>
  <si>
    <t>Taxa Registro</t>
  </si>
  <si>
    <t>Comunicação de Venda</t>
  </si>
  <si>
    <t>Vistoria</t>
  </si>
  <si>
    <t>Serviço Despachante (Honorário)</t>
  </si>
  <si>
    <t>TOTAL</t>
  </si>
  <si>
    <t>OBS.</t>
  </si>
  <si>
    <t>Licenciamento</t>
  </si>
  <si>
    <t>CertificadoDigital</t>
  </si>
  <si>
    <t>Data</t>
  </si>
  <si>
    <t>Placa/chassi</t>
  </si>
  <si>
    <t>PLACA</t>
  </si>
  <si>
    <t>Marca/Modelo</t>
  </si>
  <si>
    <t>DESP. DE FORA</t>
  </si>
  <si>
    <t>Licenciamento Anual</t>
  </si>
  <si>
    <t>PLANILHA CIA DA MOTO - REF. SERVIÇOS PRESTADOS FEVEREIRO/2026</t>
  </si>
  <si>
    <t>HONDA/XRE 300 ABS</t>
  </si>
  <si>
    <t>QJD1I27</t>
  </si>
  <si>
    <t>TRANSFERENCIA</t>
  </si>
  <si>
    <t>HONDA/BIZ 125 ES</t>
  </si>
  <si>
    <t>MIN7672</t>
  </si>
  <si>
    <t>QTL5J35</t>
  </si>
  <si>
    <t>HONDA/BIZ 125</t>
  </si>
  <si>
    <t>HONDA/C100 BIZ ES</t>
  </si>
  <si>
    <t>MCW3E34</t>
  </si>
  <si>
    <t>HONDA/NXR150 BROS ES</t>
  </si>
  <si>
    <t>MKW5B89</t>
  </si>
  <si>
    <t>HONDA/CG 160 TITAN</t>
  </si>
  <si>
    <t>RYL2J06</t>
  </si>
  <si>
    <t>HONDA/BIZ 110I</t>
  </si>
  <si>
    <t>RYH3F69</t>
  </si>
  <si>
    <t>HONDA/ML 125</t>
  </si>
  <si>
    <t>LYG5H84</t>
  </si>
  <si>
    <t>HONDA/CG 125I FAN</t>
  </si>
  <si>
    <t>QIW0I25</t>
  </si>
  <si>
    <t>TRIUMPH/TIGER 900 RALLYP</t>
  </si>
  <si>
    <t>SXT5J05</t>
  </si>
  <si>
    <t>CERTIFICADO DIGITAL</t>
  </si>
  <si>
    <t>EMISSAO DE LICENCIAMENTO</t>
  </si>
  <si>
    <t>MKJ1247</t>
  </si>
  <si>
    <t>ATPVE</t>
  </si>
  <si>
    <t>MJC8686</t>
  </si>
  <si>
    <t>HONDA/BIZ EX</t>
  </si>
  <si>
    <t>TQC0F98</t>
  </si>
  <si>
    <t xml:space="preserve">ATPVE + ASS + COM </t>
  </si>
  <si>
    <t>HONDA/XRE 190 SE</t>
  </si>
  <si>
    <t>RYK8J62</t>
  </si>
  <si>
    <t>IYI2C98</t>
  </si>
  <si>
    <t>HONDA/CB 500X</t>
  </si>
  <si>
    <t>QJC8H90</t>
  </si>
  <si>
    <t>SXZ6H81</t>
  </si>
  <si>
    <t>QHB5A21</t>
  </si>
  <si>
    <t>HONDA/XRE 190</t>
  </si>
  <si>
    <t>QIJ7785</t>
  </si>
  <si>
    <t>JTA-SUZUKI/GSX-R1000 ABS</t>
  </si>
  <si>
    <t>PLS3D37</t>
  </si>
  <si>
    <t>TPU3A96</t>
  </si>
  <si>
    <t>HONDA/NXR 160 BROS CBS</t>
  </si>
  <si>
    <t>MHB3I38</t>
  </si>
  <si>
    <t>MKW2J63</t>
  </si>
  <si>
    <t>SXN2C66</t>
  </si>
  <si>
    <t>YAMAHA/MT09 ABS</t>
  </si>
  <si>
    <t>BEO5B92</t>
  </si>
  <si>
    <t>HONDA/CG 150 TITAN EX</t>
  </si>
  <si>
    <t>MKU6741</t>
  </si>
  <si>
    <t>KAWASAKI/Z400</t>
  </si>
  <si>
    <t>RLK2A82</t>
  </si>
  <si>
    <t>FIAT/PALIO SPORTING 1.6</t>
  </si>
  <si>
    <t>MCU6D23</t>
  </si>
  <si>
    <t>QHT4D01</t>
  </si>
  <si>
    <t>RDY7J67</t>
  </si>
  <si>
    <t>YAMAHA/FZ25 FAZER</t>
  </si>
  <si>
    <t>RKX0D18</t>
  </si>
  <si>
    <t>HONDA/NXR 160 BROS ABS</t>
  </si>
  <si>
    <t>TPO5H07</t>
  </si>
  <si>
    <t>TPN1J01</t>
  </si>
  <si>
    <t>HONDA/XRE 190 ADV</t>
  </si>
  <si>
    <t>MLL1A45</t>
  </si>
  <si>
    <t>RENAULT/KWID INTENS 10MT</t>
  </si>
  <si>
    <t>QIQ3I73</t>
  </si>
  <si>
    <t>HONDA/CG 160 START</t>
  </si>
  <si>
    <t>RAC8J77</t>
  </si>
  <si>
    <t>HONDA/XR300L TORNADO</t>
  </si>
  <si>
    <t>TPN1I51</t>
  </si>
  <si>
    <t>HONDA/NXR160 BROS ESDD</t>
  </si>
  <si>
    <t>RYS0G98</t>
  </si>
  <si>
    <t>MHK9B78</t>
  </si>
  <si>
    <t>QHV3E57</t>
  </si>
  <si>
    <t>HONDA/BIZ 125 EX</t>
  </si>
  <si>
    <t>QHD2F89</t>
  </si>
  <si>
    <t>DESCONTADO 26,00 REF. PAGAMENTO A MAIS DA PLANILHA DE JANIEIRO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</si>
</sst>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/mm/yy;@"/>
    <numFmt numFmtId="165" formatCode="&quot;R$&quot;\ #,##0.00"/>
    <numFmt numFmtId="166" formatCode="_-&quot;R$ &quot;* #,##0.00_-;&quot;-R$ &quot;* #,##0.00_-;_-&quot;R$ &quot;* \-??_-;_-@_-"/>
    <numFmt numFmtId="167" formatCode="&quot;R$ &quot;#,##0.00;[Red]&quot;-R$ &quot;#,##0.0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3399"/>
        <bgColor indexed="6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9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6" fillId="0" borderId="7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4" fontId="0" fillId="0" borderId="0" xfId="2" applyFont="1"/>
    <xf numFmtId="165" fontId="5" fillId="0" borderId="9" xfId="1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165" fontId="5" fillId="0" borderId="17" xfId="1" applyNumberFormat="1" applyFont="1" applyBorder="1" applyAlignment="1">
      <alignment horizontal="center" vertical="center"/>
    </xf>
    <xf numFmtId="165" fontId="6" fillId="0" borderId="17" xfId="1" applyNumberFormat="1" applyFont="1" applyBorder="1" applyAlignment="1">
      <alignment horizontal="center" vertical="center"/>
    </xf>
    <xf numFmtId="165" fontId="5" fillId="0" borderId="18" xfId="1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0" fillId="2" borderId="10" xfId="1" applyFont="1" applyFill="1" applyBorder="1" applyAlignment="1">
      <alignment horizontal="left" vertical="center"/>
    </xf>
    <xf numFmtId="14" fontId="5" fillId="0" borderId="7" xfId="1" applyNumberFormat="1" applyFont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11" fillId="0" borderId="17" xfId="0" applyFont="1" applyBorder="1"/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65" fontId="5" fillId="0" borderId="5" xfId="1" applyNumberFormat="1" applyFont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165" fontId="5" fillId="0" borderId="8" xfId="1" applyNumberFormat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164" fontId="2" fillId="5" borderId="28" xfId="1" applyNumberFormat="1" applyFont="1" applyFill="1" applyBorder="1" applyAlignment="1">
      <alignment horizontal="center" vertical="center" wrapText="1"/>
    </xf>
    <xf numFmtId="0" fontId="2" fillId="5" borderId="28" xfId="1" applyFont="1" applyFill="1" applyBorder="1" applyAlignment="1">
      <alignment horizontal="center" vertical="center" wrapText="1"/>
    </xf>
    <xf numFmtId="165" fontId="2" fillId="5" borderId="28" xfId="1" applyNumberFormat="1" applyFont="1" applyFill="1" applyBorder="1" applyAlignment="1">
      <alignment horizontal="center" vertical="center" wrapText="1"/>
    </xf>
    <xf numFmtId="4" fontId="2" fillId="5" borderId="28" xfId="1" applyNumberFormat="1" applyFont="1" applyFill="1" applyBorder="1" applyAlignment="1">
      <alignment horizontal="center" vertical="center" wrapText="1"/>
    </xf>
    <xf numFmtId="4" fontId="2" fillId="5" borderId="29" xfId="1" applyNumberFormat="1" applyFont="1" applyFill="1" applyBorder="1" applyAlignment="1">
      <alignment horizontal="center" vertical="center" wrapText="1"/>
    </xf>
    <xf numFmtId="166" fontId="2" fillId="5" borderId="24" xfId="1" applyNumberFormat="1" applyFont="1" applyFill="1" applyBorder="1" applyAlignment="1">
      <alignment horizontal="center" vertical="center" wrapText="1"/>
    </xf>
    <xf numFmtId="0" fontId="2" fillId="5" borderId="25" xfId="1" applyFont="1" applyFill="1" applyBorder="1" applyAlignment="1">
      <alignment horizontal="center" vertical="center" wrapText="1"/>
    </xf>
    <xf numFmtId="8" fontId="7" fillId="6" borderId="11" xfId="0" applyNumberFormat="1" applyFont="1" applyFill="1" applyBorder="1" applyAlignment="1">
      <alignment horizontal="center" vertical="center"/>
    </xf>
    <xf numFmtId="8" fontId="7" fillId="6" borderId="12" xfId="0" applyNumberFormat="1" applyFont="1" applyFill="1" applyBorder="1" applyAlignment="1">
      <alignment horizontal="center" vertical="center"/>
    </xf>
    <xf numFmtId="165" fontId="8" fillId="6" borderId="13" xfId="0" applyNumberFormat="1" applyFont="1" applyFill="1" applyBorder="1" applyAlignment="1">
      <alignment horizontal="center" vertical="center"/>
    </xf>
    <xf numFmtId="8" fontId="7" fillId="6" borderId="13" xfId="0" applyNumberFormat="1" applyFont="1" applyFill="1" applyBorder="1" applyAlignment="1">
      <alignment horizontal="center" vertical="center"/>
    </xf>
    <xf numFmtId="8" fontId="7" fillId="6" borderId="14" xfId="0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/>
    <xf numFmtId="166" fontId="7" fillId="6" borderId="15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165" fontId="5" fillId="0" borderId="34" xfId="1" applyNumberFormat="1" applyFont="1" applyBorder="1" applyAlignment="1">
      <alignment horizontal="center" vertical="center"/>
    </xf>
    <xf numFmtId="165" fontId="6" fillId="0" borderId="34" xfId="1" applyNumberFormat="1" applyFont="1" applyBorder="1" applyAlignment="1">
      <alignment horizontal="center" vertical="center"/>
    </xf>
    <xf numFmtId="165" fontId="5" fillId="0" borderId="35" xfId="1" applyNumberFormat="1" applyFont="1" applyBorder="1" applyAlignment="1">
      <alignment horizontal="center" vertical="center"/>
    </xf>
    <xf numFmtId="0" fontId="10" fillId="2" borderId="36" xfId="1" applyFont="1" applyFill="1" applyBorder="1" applyAlignment="1">
      <alignment horizontal="left" vertical="center"/>
    </xf>
    <xf numFmtId="167" fontId="7" fillId="0" borderId="37" xfId="1" applyNumberFormat="1" applyFont="1" applyBorder="1" applyAlignment="1">
      <alignment horizontal="center" vertical="center"/>
    </xf>
    <xf numFmtId="167" fontId="7" fillId="0" borderId="10" xfId="1" applyNumberFormat="1" applyFont="1" applyBorder="1" applyAlignment="1">
      <alignment horizontal="center" vertical="center"/>
    </xf>
    <xf numFmtId="167" fontId="7" fillId="0" borderId="36" xfId="1" applyNumberFormat="1" applyFont="1" applyBorder="1" applyAlignment="1">
      <alignment horizontal="center" vertical="center"/>
    </xf>
    <xf numFmtId="167" fontId="7" fillId="0" borderId="19" xfId="1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0" fillId="7" borderId="10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14" fontId="4" fillId="8" borderId="20" xfId="0" applyNumberFormat="1" applyFont="1" applyFill="1" applyBorder="1" applyAlignment="1">
      <alignment horizontal="center" vertical="center"/>
    </xf>
    <xf numFmtId="0" fontId="5" fillId="8" borderId="7" xfId="1" applyFont="1" applyFill="1" applyBorder="1" applyAlignment="1">
      <alignment horizontal="center" vertical="center"/>
    </xf>
    <xf numFmtId="165" fontId="5" fillId="8" borderId="7" xfId="1" applyNumberFormat="1" applyFont="1" applyFill="1" applyBorder="1" applyAlignment="1">
      <alignment horizontal="center" vertical="center"/>
    </xf>
    <xf numFmtId="165" fontId="6" fillId="8" borderId="7" xfId="1" applyNumberFormat="1" applyFont="1" applyFill="1" applyBorder="1" applyAlignment="1">
      <alignment horizontal="center" vertical="center"/>
    </xf>
    <xf numFmtId="165" fontId="5" fillId="8" borderId="9" xfId="1" applyNumberFormat="1" applyFont="1" applyFill="1" applyBorder="1" applyAlignment="1">
      <alignment horizontal="center" vertical="center"/>
    </xf>
    <xf numFmtId="167" fontId="7" fillId="8" borderId="10" xfId="1" applyNumberFormat="1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horizontal="center" vertical="center"/>
    </xf>
    <xf numFmtId="14" fontId="4" fillId="8" borderId="33" xfId="0" applyNumberFormat="1" applyFont="1" applyFill="1" applyBorder="1" applyAlignment="1">
      <alignment horizontal="center" vertical="center"/>
    </xf>
    <xf numFmtId="0" fontId="5" fillId="8" borderId="34" xfId="1" applyFont="1" applyFill="1" applyBorder="1" applyAlignment="1">
      <alignment horizontal="center" vertical="center"/>
    </xf>
    <xf numFmtId="165" fontId="5" fillId="8" borderId="34" xfId="1" applyNumberFormat="1" applyFont="1" applyFill="1" applyBorder="1" applyAlignment="1">
      <alignment horizontal="center" vertical="center"/>
    </xf>
    <xf numFmtId="165" fontId="6" fillId="8" borderId="34" xfId="1" applyNumberFormat="1" applyFont="1" applyFill="1" applyBorder="1" applyAlignment="1">
      <alignment horizontal="center" vertical="center"/>
    </xf>
    <xf numFmtId="165" fontId="5" fillId="8" borderId="35" xfId="1" applyNumberFormat="1" applyFont="1" applyFill="1" applyBorder="1" applyAlignment="1">
      <alignment horizontal="center" vertical="center"/>
    </xf>
    <xf numFmtId="167" fontId="7" fillId="8" borderId="36" xfId="1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FF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6"/>
  <sheetViews>
    <sheetView tabSelected="1" workbookViewId="0">
      <selection activeCell="G19" sqref="G19"/>
    </sheetView>
  </sheetViews>
  <sheetFormatPr defaultRowHeight="15" x14ac:dyDescent="0.25"/>
  <cols>
    <col min="1" max="1" width="8.42578125" customWidth="1"/>
    <col min="2" max="2" width="11.140625" customWidth="1"/>
    <col min="3" max="3" width="25" customWidth="1"/>
    <col min="4" max="4" width="22.28515625" customWidth="1"/>
    <col min="5" max="5" width="9.85546875" customWidth="1"/>
    <col min="6" max="6" width="12.28515625" style="9" customWidth="1"/>
    <col min="9" max="9" width="7.7109375" customWidth="1"/>
    <col min="10" max="10" width="7.28515625" customWidth="1"/>
    <col min="11" max="11" width="12.140625" customWidth="1"/>
    <col min="12" max="12" width="9.5703125" customWidth="1"/>
    <col min="13" max="13" width="11" customWidth="1"/>
    <col min="14" max="14" width="9" customWidth="1"/>
    <col min="15" max="15" width="9.85546875" customWidth="1"/>
    <col min="16" max="16" width="11" customWidth="1"/>
    <col min="17" max="17" width="12" customWidth="1"/>
    <col min="18" max="18" width="12.140625" style="2" customWidth="1"/>
    <col min="19" max="19" width="34.7109375" customWidth="1"/>
  </cols>
  <sheetData>
    <row r="1" spans="1:19" ht="15.75" thickBot="1" x14ac:dyDescent="0.3">
      <c r="A1" s="62" t="s">
        <v>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/>
    </row>
    <row r="2" spans="1:19" ht="39" thickBot="1" x14ac:dyDescent="0.3">
      <c r="A2" s="33" t="s">
        <v>0</v>
      </c>
      <c r="B2" s="34" t="s">
        <v>13</v>
      </c>
      <c r="C2" s="35" t="s">
        <v>1</v>
      </c>
      <c r="D2" s="35" t="s">
        <v>16</v>
      </c>
      <c r="E2" s="36" t="s">
        <v>14</v>
      </c>
      <c r="F2" s="36" t="s">
        <v>11</v>
      </c>
      <c r="G2" s="37" t="s">
        <v>2</v>
      </c>
      <c r="H2" s="37" t="s">
        <v>3</v>
      </c>
      <c r="I2" s="37" t="s">
        <v>15</v>
      </c>
      <c r="J2" s="37" t="s">
        <v>7</v>
      </c>
      <c r="K2" s="37" t="s">
        <v>18</v>
      </c>
      <c r="L2" s="38" t="s">
        <v>12</v>
      </c>
      <c r="M2" s="38" t="s">
        <v>6</v>
      </c>
      <c r="N2" s="38" t="s">
        <v>4</v>
      </c>
      <c r="O2" s="38" t="s">
        <v>17</v>
      </c>
      <c r="P2" s="38" t="s">
        <v>5</v>
      </c>
      <c r="Q2" s="39" t="s">
        <v>8</v>
      </c>
      <c r="R2" s="40" t="s">
        <v>9</v>
      </c>
      <c r="S2" s="41" t="s">
        <v>10</v>
      </c>
    </row>
    <row r="3" spans="1:19" ht="13.5" customHeight="1" x14ac:dyDescent="0.25">
      <c r="A3" s="25">
        <v>101109</v>
      </c>
      <c r="B3" s="26">
        <v>46066</v>
      </c>
      <c r="C3" s="32" t="s">
        <v>22</v>
      </c>
      <c r="D3" s="32" t="s">
        <v>20</v>
      </c>
      <c r="E3" s="27" t="s">
        <v>21</v>
      </c>
      <c r="F3" s="28"/>
      <c r="G3" s="28"/>
      <c r="H3" s="28"/>
      <c r="I3" s="28"/>
      <c r="J3" s="29"/>
      <c r="K3" s="28"/>
      <c r="L3" s="28"/>
      <c r="M3" s="28">
        <v>17</v>
      </c>
      <c r="N3" s="28"/>
      <c r="O3" s="28"/>
      <c r="P3" s="28">
        <v>183.12</v>
      </c>
      <c r="Q3" s="30">
        <v>60</v>
      </c>
      <c r="R3" s="56">
        <f t="shared" ref="R3:R43" si="0">SUM(K3:Q3)</f>
        <v>260.12</v>
      </c>
      <c r="S3" s="18"/>
    </row>
    <row r="4" spans="1:19" x14ac:dyDescent="0.25">
      <c r="A4" s="3">
        <v>101225</v>
      </c>
      <c r="B4" s="16">
        <v>46072</v>
      </c>
      <c r="C4" s="60" t="s">
        <v>22</v>
      </c>
      <c r="D4" s="4" t="s">
        <v>23</v>
      </c>
      <c r="E4" s="22" t="s">
        <v>24</v>
      </c>
      <c r="F4" s="5"/>
      <c r="G4" s="5"/>
      <c r="H4" s="5"/>
      <c r="I4" s="5"/>
      <c r="J4" s="6"/>
      <c r="K4" s="5"/>
      <c r="L4" s="5"/>
      <c r="M4" s="5"/>
      <c r="N4" s="5"/>
      <c r="O4" s="5"/>
      <c r="P4" s="5">
        <v>183.12</v>
      </c>
      <c r="Q4" s="10">
        <v>60</v>
      </c>
      <c r="R4" s="57">
        <f t="shared" si="0"/>
        <v>243.12</v>
      </c>
      <c r="S4" s="19"/>
    </row>
    <row r="5" spans="1:19" x14ac:dyDescent="0.25">
      <c r="A5" s="3">
        <v>101222</v>
      </c>
      <c r="B5" s="16">
        <v>46072</v>
      </c>
      <c r="C5" s="60" t="s">
        <v>22</v>
      </c>
      <c r="D5" s="4" t="s">
        <v>26</v>
      </c>
      <c r="E5" s="4" t="s">
        <v>25</v>
      </c>
      <c r="F5" s="5"/>
      <c r="G5" s="5"/>
      <c r="H5" s="5"/>
      <c r="I5" s="5"/>
      <c r="J5" s="6"/>
      <c r="K5" s="5"/>
      <c r="L5" s="5"/>
      <c r="M5" s="5"/>
      <c r="N5" s="5"/>
      <c r="O5" s="5"/>
      <c r="P5" s="5">
        <v>183.12</v>
      </c>
      <c r="Q5" s="10">
        <v>60</v>
      </c>
      <c r="R5" s="57">
        <f t="shared" si="0"/>
        <v>243.12</v>
      </c>
      <c r="S5" s="21"/>
    </row>
    <row r="6" spans="1:19" x14ac:dyDescent="0.25">
      <c r="A6" s="3">
        <v>101220</v>
      </c>
      <c r="B6" s="16">
        <v>46072</v>
      </c>
      <c r="C6" s="60" t="s">
        <v>22</v>
      </c>
      <c r="D6" s="4" t="s">
        <v>27</v>
      </c>
      <c r="E6" s="4" t="s">
        <v>28</v>
      </c>
      <c r="F6" s="5"/>
      <c r="G6" s="5"/>
      <c r="H6" s="5"/>
      <c r="I6" s="5"/>
      <c r="J6" s="6"/>
      <c r="K6" s="5"/>
      <c r="L6" s="5"/>
      <c r="M6" s="5"/>
      <c r="N6" s="5"/>
      <c r="O6" s="5"/>
      <c r="P6" s="5">
        <v>183.12</v>
      </c>
      <c r="Q6" s="10">
        <v>60</v>
      </c>
      <c r="R6" s="57">
        <f t="shared" si="0"/>
        <v>243.12</v>
      </c>
      <c r="S6" s="21"/>
    </row>
    <row r="7" spans="1:19" x14ac:dyDescent="0.25">
      <c r="A7" s="3">
        <v>101218</v>
      </c>
      <c r="B7" s="16">
        <v>46072</v>
      </c>
      <c r="C7" s="60" t="s">
        <v>22</v>
      </c>
      <c r="D7" s="4" t="s">
        <v>29</v>
      </c>
      <c r="E7" s="4" t="s">
        <v>30</v>
      </c>
      <c r="F7" s="5"/>
      <c r="G7" s="5"/>
      <c r="H7" s="5"/>
      <c r="I7" s="5"/>
      <c r="J7" s="6"/>
      <c r="K7" s="5"/>
      <c r="L7" s="5"/>
      <c r="M7" s="5"/>
      <c r="N7" s="5"/>
      <c r="O7" s="5"/>
      <c r="P7" s="5">
        <v>183.12</v>
      </c>
      <c r="Q7" s="10">
        <v>60</v>
      </c>
      <c r="R7" s="57">
        <f t="shared" si="0"/>
        <v>243.12</v>
      </c>
      <c r="S7" s="21"/>
    </row>
    <row r="8" spans="1:19" x14ac:dyDescent="0.25">
      <c r="A8" s="3">
        <v>101215</v>
      </c>
      <c r="B8" s="16">
        <v>46072</v>
      </c>
      <c r="C8" s="60" t="s">
        <v>22</v>
      </c>
      <c r="D8" s="4" t="s">
        <v>31</v>
      </c>
      <c r="E8" s="4" t="s">
        <v>32</v>
      </c>
      <c r="F8" s="5"/>
      <c r="G8" s="5"/>
      <c r="H8" s="5"/>
      <c r="I8" s="5"/>
      <c r="J8" s="6"/>
      <c r="K8" s="5"/>
      <c r="L8" s="5"/>
      <c r="M8" s="5"/>
      <c r="N8" s="5"/>
      <c r="O8" s="5"/>
      <c r="P8" s="5">
        <v>183.12</v>
      </c>
      <c r="Q8" s="10">
        <v>60</v>
      </c>
      <c r="R8" s="57">
        <f t="shared" si="0"/>
        <v>243.12</v>
      </c>
      <c r="S8" s="21"/>
    </row>
    <row r="9" spans="1:19" x14ac:dyDescent="0.25">
      <c r="A9" s="3">
        <v>101213</v>
      </c>
      <c r="B9" s="16">
        <v>46072</v>
      </c>
      <c r="C9" s="60" t="s">
        <v>22</v>
      </c>
      <c r="D9" s="4" t="s">
        <v>33</v>
      </c>
      <c r="E9" s="4" t="s">
        <v>34</v>
      </c>
      <c r="F9" s="5"/>
      <c r="G9" s="5"/>
      <c r="H9" s="5"/>
      <c r="I9" s="5"/>
      <c r="J9" s="6"/>
      <c r="K9" s="5"/>
      <c r="L9" s="5"/>
      <c r="M9" s="5"/>
      <c r="N9" s="5"/>
      <c r="O9" s="5"/>
      <c r="P9" s="5">
        <v>183.12</v>
      </c>
      <c r="Q9" s="10">
        <v>60</v>
      </c>
      <c r="R9" s="57">
        <f t="shared" si="0"/>
        <v>243.12</v>
      </c>
      <c r="S9" s="19"/>
    </row>
    <row r="10" spans="1:19" x14ac:dyDescent="0.25">
      <c r="A10" s="3">
        <v>101209</v>
      </c>
      <c r="B10" s="16">
        <v>46072</v>
      </c>
      <c r="C10" s="4" t="s">
        <v>22</v>
      </c>
      <c r="D10" s="31" t="s">
        <v>35</v>
      </c>
      <c r="E10" s="23" t="s">
        <v>36</v>
      </c>
      <c r="F10" s="5"/>
      <c r="G10" s="5"/>
      <c r="H10" s="5"/>
      <c r="I10" s="5"/>
      <c r="J10" s="6"/>
      <c r="K10" s="5"/>
      <c r="L10" s="5"/>
      <c r="M10" s="5"/>
      <c r="N10" s="5"/>
      <c r="O10" s="5"/>
      <c r="P10" s="5">
        <v>183.12</v>
      </c>
      <c r="Q10" s="10">
        <v>60</v>
      </c>
      <c r="R10" s="57">
        <f t="shared" si="0"/>
        <v>243.12</v>
      </c>
      <c r="S10" s="19"/>
    </row>
    <row r="11" spans="1:19" x14ac:dyDescent="0.25">
      <c r="A11" s="3">
        <v>101223</v>
      </c>
      <c r="B11" s="16">
        <v>46072</v>
      </c>
      <c r="C11" s="4" t="s">
        <v>22</v>
      </c>
      <c r="D11" s="4" t="s">
        <v>37</v>
      </c>
      <c r="E11" s="4" t="s">
        <v>38</v>
      </c>
      <c r="F11" s="5"/>
      <c r="G11" s="5"/>
      <c r="H11" s="5"/>
      <c r="I11" s="5"/>
      <c r="J11" s="6"/>
      <c r="K11" s="5"/>
      <c r="L11" s="5"/>
      <c r="M11" s="5"/>
      <c r="N11" s="5"/>
      <c r="O11" s="5"/>
      <c r="P11" s="5">
        <v>183.12</v>
      </c>
      <c r="Q11" s="10">
        <v>60</v>
      </c>
      <c r="R11" s="57">
        <f t="shared" si="0"/>
        <v>243.12</v>
      </c>
      <c r="S11" s="19"/>
    </row>
    <row r="12" spans="1:19" x14ac:dyDescent="0.25">
      <c r="A12" s="65">
        <v>101065</v>
      </c>
      <c r="B12" s="66">
        <v>46064</v>
      </c>
      <c r="C12" s="67" t="s">
        <v>22</v>
      </c>
      <c r="D12" s="67" t="s">
        <v>39</v>
      </c>
      <c r="E12" s="67" t="s">
        <v>40</v>
      </c>
      <c r="F12" s="68"/>
      <c r="G12" s="68"/>
      <c r="H12" s="68"/>
      <c r="I12" s="68"/>
      <c r="J12" s="69"/>
      <c r="K12" s="68">
        <v>149.37</v>
      </c>
      <c r="L12" s="68"/>
      <c r="M12" s="68"/>
      <c r="N12" s="68"/>
      <c r="O12" s="68"/>
      <c r="P12" s="68"/>
      <c r="Q12" s="70"/>
      <c r="R12" s="71">
        <f t="shared" si="0"/>
        <v>149.37</v>
      </c>
      <c r="S12" s="19"/>
    </row>
    <row r="13" spans="1:19" x14ac:dyDescent="0.25">
      <c r="A13" s="65">
        <v>101307</v>
      </c>
      <c r="B13" s="66">
        <v>46076</v>
      </c>
      <c r="C13" s="67" t="s">
        <v>41</v>
      </c>
      <c r="D13" s="67"/>
      <c r="E13" s="67"/>
      <c r="F13" s="68"/>
      <c r="G13" s="68"/>
      <c r="H13" s="68"/>
      <c r="I13" s="68"/>
      <c r="J13" s="69"/>
      <c r="K13" s="68"/>
      <c r="L13" s="68">
        <v>34.9</v>
      </c>
      <c r="M13" s="68"/>
      <c r="N13" s="68"/>
      <c r="O13" s="68"/>
      <c r="P13" s="68"/>
      <c r="Q13" s="70">
        <v>55.1</v>
      </c>
      <c r="R13" s="71">
        <f t="shared" si="0"/>
        <v>90</v>
      </c>
      <c r="S13" s="19"/>
    </row>
    <row r="14" spans="1:19" x14ac:dyDescent="0.25">
      <c r="A14" s="65">
        <v>100838</v>
      </c>
      <c r="B14" s="66">
        <v>46056</v>
      </c>
      <c r="C14" s="67" t="s">
        <v>42</v>
      </c>
      <c r="D14" s="67" t="s">
        <v>29</v>
      </c>
      <c r="E14" s="67" t="s">
        <v>43</v>
      </c>
      <c r="F14" s="68"/>
      <c r="G14" s="68"/>
      <c r="H14" s="68"/>
      <c r="I14" s="68"/>
      <c r="J14" s="69"/>
      <c r="K14" s="68"/>
      <c r="L14" s="68"/>
      <c r="M14" s="68"/>
      <c r="N14" s="68"/>
      <c r="O14" s="68">
        <v>45</v>
      </c>
      <c r="P14" s="68"/>
      <c r="Q14" s="70">
        <v>30</v>
      </c>
      <c r="R14" s="71">
        <f t="shared" si="0"/>
        <v>75</v>
      </c>
      <c r="S14" s="19"/>
    </row>
    <row r="15" spans="1:19" x14ac:dyDescent="0.25">
      <c r="A15" s="65">
        <v>101379</v>
      </c>
      <c r="B15" s="66">
        <v>46077</v>
      </c>
      <c r="C15" s="67" t="s">
        <v>44</v>
      </c>
      <c r="D15" s="67" t="s">
        <v>23</v>
      </c>
      <c r="E15" s="67" t="s">
        <v>45</v>
      </c>
      <c r="F15" s="68"/>
      <c r="G15" s="68"/>
      <c r="H15" s="68"/>
      <c r="I15" s="68"/>
      <c r="J15" s="69"/>
      <c r="K15" s="68"/>
      <c r="L15" s="68"/>
      <c r="M15" s="68"/>
      <c r="N15" s="68"/>
      <c r="O15" s="68"/>
      <c r="P15" s="68"/>
      <c r="Q15" s="70">
        <v>40</v>
      </c>
      <c r="R15" s="71">
        <f t="shared" si="0"/>
        <v>40</v>
      </c>
      <c r="S15" s="19"/>
    </row>
    <row r="16" spans="1:19" x14ac:dyDescent="0.25">
      <c r="A16" s="65">
        <v>101378</v>
      </c>
      <c r="B16" s="66">
        <v>46077</v>
      </c>
      <c r="C16" s="67" t="s">
        <v>44</v>
      </c>
      <c r="D16" s="67" t="s">
        <v>46</v>
      </c>
      <c r="E16" s="67" t="s">
        <v>47</v>
      </c>
      <c r="F16" s="68"/>
      <c r="G16" s="68"/>
      <c r="H16" s="68"/>
      <c r="I16" s="68"/>
      <c r="J16" s="69"/>
      <c r="K16" s="68"/>
      <c r="L16" s="68"/>
      <c r="M16" s="68"/>
      <c r="N16" s="68"/>
      <c r="O16" s="68"/>
      <c r="P16" s="68"/>
      <c r="Q16" s="70">
        <v>40</v>
      </c>
      <c r="R16" s="71">
        <f t="shared" si="0"/>
        <v>40</v>
      </c>
      <c r="S16" s="19"/>
    </row>
    <row r="17" spans="1:19" x14ac:dyDescent="0.25">
      <c r="A17" s="65">
        <v>100796</v>
      </c>
      <c r="B17" s="66">
        <v>46055</v>
      </c>
      <c r="C17" s="67" t="s">
        <v>48</v>
      </c>
      <c r="D17" s="67" t="s">
        <v>49</v>
      </c>
      <c r="E17" s="67" t="s">
        <v>50</v>
      </c>
      <c r="F17" s="68"/>
      <c r="G17" s="68"/>
      <c r="H17" s="68"/>
      <c r="I17" s="68"/>
      <c r="J17" s="69"/>
      <c r="K17" s="68"/>
      <c r="L17" s="68"/>
      <c r="M17" s="68">
        <v>17</v>
      </c>
      <c r="N17" s="68">
        <v>9</v>
      </c>
      <c r="O17" s="68"/>
      <c r="P17" s="68"/>
      <c r="Q17" s="70">
        <v>40</v>
      </c>
      <c r="R17" s="71">
        <f t="shared" si="0"/>
        <v>66</v>
      </c>
      <c r="S17" s="19"/>
    </row>
    <row r="18" spans="1:19" x14ac:dyDescent="0.25">
      <c r="A18" s="65">
        <v>100979</v>
      </c>
      <c r="B18" s="66">
        <v>46062</v>
      </c>
      <c r="C18" s="67" t="s">
        <v>48</v>
      </c>
      <c r="D18" s="67" t="s">
        <v>33</v>
      </c>
      <c r="E18" s="67" t="s">
        <v>51</v>
      </c>
      <c r="F18" s="68"/>
      <c r="G18" s="68"/>
      <c r="H18" s="68"/>
      <c r="I18" s="68"/>
      <c r="J18" s="69"/>
      <c r="K18" s="68"/>
      <c r="L18" s="68"/>
      <c r="M18" s="68">
        <v>17</v>
      </c>
      <c r="N18" s="68">
        <v>9</v>
      </c>
      <c r="O18" s="68"/>
      <c r="P18" s="68"/>
      <c r="Q18" s="70">
        <v>40</v>
      </c>
      <c r="R18" s="71">
        <f t="shared" si="0"/>
        <v>66</v>
      </c>
      <c r="S18" s="19"/>
    </row>
    <row r="19" spans="1:19" x14ac:dyDescent="0.25">
      <c r="A19" s="65">
        <v>100981</v>
      </c>
      <c r="B19" s="66">
        <v>46062</v>
      </c>
      <c r="C19" s="67" t="s">
        <v>48</v>
      </c>
      <c r="D19" s="67" t="s">
        <v>52</v>
      </c>
      <c r="E19" s="67" t="s">
        <v>53</v>
      </c>
      <c r="F19" s="68"/>
      <c r="G19" s="68"/>
      <c r="H19" s="68"/>
      <c r="I19" s="68"/>
      <c r="J19" s="69"/>
      <c r="K19" s="68"/>
      <c r="L19" s="68"/>
      <c r="M19" s="68">
        <v>17</v>
      </c>
      <c r="N19" s="68">
        <v>9</v>
      </c>
      <c r="O19" s="68"/>
      <c r="P19" s="68"/>
      <c r="Q19" s="70">
        <v>40</v>
      </c>
      <c r="R19" s="71">
        <f t="shared" si="0"/>
        <v>66</v>
      </c>
      <c r="S19" s="19"/>
    </row>
    <row r="20" spans="1:19" x14ac:dyDescent="0.25">
      <c r="A20" s="65">
        <v>101272</v>
      </c>
      <c r="B20" s="66">
        <v>46073</v>
      </c>
      <c r="C20" s="67" t="s">
        <v>48</v>
      </c>
      <c r="D20" s="67" t="s">
        <v>26</v>
      </c>
      <c r="E20" s="67" t="s">
        <v>25</v>
      </c>
      <c r="F20" s="68"/>
      <c r="G20" s="68"/>
      <c r="H20" s="68"/>
      <c r="I20" s="68"/>
      <c r="J20" s="69"/>
      <c r="K20" s="68"/>
      <c r="L20" s="68"/>
      <c r="M20" s="68">
        <v>17</v>
      </c>
      <c r="N20" s="68">
        <v>9</v>
      </c>
      <c r="O20" s="68"/>
      <c r="P20" s="68"/>
      <c r="Q20" s="70">
        <v>40</v>
      </c>
      <c r="R20" s="71">
        <f t="shared" si="0"/>
        <v>66</v>
      </c>
      <c r="S20" s="19"/>
    </row>
    <row r="21" spans="1:19" x14ac:dyDescent="0.25">
      <c r="A21" s="65">
        <v>101273</v>
      </c>
      <c r="B21" s="66">
        <v>46073</v>
      </c>
      <c r="C21" s="67" t="s">
        <v>48</v>
      </c>
      <c r="D21" s="67" t="s">
        <v>27</v>
      </c>
      <c r="E21" s="67" t="s">
        <v>28</v>
      </c>
      <c r="F21" s="68"/>
      <c r="G21" s="68"/>
      <c r="H21" s="68"/>
      <c r="I21" s="68"/>
      <c r="J21" s="69"/>
      <c r="K21" s="68"/>
      <c r="L21" s="68"/>
      <c r="M21" s="68">
        <v>17</v>
      </c>
      <c r="N21" s="68">
        <v>9</v>
      </c>
      <c r="O21" s="68"/>
      <c r="P21" s="68"/>
      <c r="Q21" s="70">
        <v>40</v>
      </c>
      <c r="R21" s="71">
        <f t="shared" si="0"/>
        <v>66</v>
      </c>
      <c r="S21" s="19"/>
    </row>
    <row r="22" spans="1:19" x14ac:dyDescent="0.25">
      <c r="A22" s="65">
        <v>101275</v>
      </c>
      <c r="B22" s="66">
        <v>46073</v>
      </c>
      <c r="C22" s="67" t="s">
        <v>48</v>
      </c>
      <c r="D22" s="67" t="s">
        <v>46</v>
      </c>
      <c r="E22" s="67" t="s">
        <v>54</v>
      </c>
      <c r="F22" s="68"/>
      <c r="G22" s="68"/>
      <c r="H22" s="68"/>
      <c r="I22" s="68"/>
      <c r="J22" s="69"/>
      <c r="K22" s="68"/>
      <c r="L22" s="68"/>
      <c r="M22" s="68">
        <v>17</v>
      </c>
      <c r="N22" s="68">
        <v>9</v>
      </c>
      <c r="O22" s="68"/>
      <c r="P22" s="68"/>
      <c r="Q22" s="70">
        <v>40</v>
      </c>
      <c r="R22" s="71">
        <f t="shared" si="0"/>
        <v>66</v>
      </c>
      <c r="S22" s="19"/>
    </row>
    <row r="23" spans="1:19" x14ac:dyDescent="0.25">
      <c r="A23" s="65">
        <v>101277</v>
      </c>
      <c r="B23" s="66">
        <v>46073</v>
      </c>
      <c r="C23" s="67" t="s">
        <v>48</v>
      </c>
      <c r="D23" s="67" t="s">
        <v>23</v>
      </c>
      <c r="E23" s="67" t="s">
        <v>55</v>
      </c>
      <c r="F23" s="68"/>
      <c r="G23" s="68"/>
      <c r="H23" s="68"/>
      <c r="I23" s="68"/>
      <c r="J23" s="69"/>
      <c r="K23" s="68"/>
      <c r="L23" s="68"/>
      <c r="M23" s="68">
        <v>17</v>
      </c>
      <c r="N23" s="68">
        <v>9</v>
      </c>
      <c r="O23" s="68"/>
      <c r="P23" s="68"/>
      <c r="Q23" s="70">
        <v>40</v>
      </c>
      <c r="R23" s="71">
        <f t="shared" si="0"/>
        <v>66</v>
      </c>
      <c r="S23" s="19"/>
    </row>
    <row r="24" spans="1:19" ht="15.75" customHeight="1" x14ac:dyDescent="0.25">
      <c r="A24" s="65">
        <v>101278</v>
      </c>
      <c r="B24" s="66">
        <v>46073</v>
      </c>
      <c r="C24" s="67" t="s">
        <v>48</v>
      </c>
      <c r="D24" s="67" t="s">
        <v>56</v>
      </c>
      <c r="E24" s="67" t="s">
        <v>57</v>
      </c>
      <c r="F24" s="68"/>
      <c r="G24" s="68"/>
      <c r="H24" s="68"/>
      <c r="I24" s="68"/>
      <c r="J24" s="69"/>
      <c r="K24" s="68"/>
      <c r="L24" s="68"/>
      <c r="M24" s="68">
        <v>17</v>
      </c>
      <c r="N24" s="68">
        <v>9</v>
      </c>
      <c r="O24" s="68"/>
      <c r="P24" s="68"/>
      <c r="Q24" s="70">
        <v>40</v>
      </c>
      <c r="R24" s="71">
        <f t="shared" si="0"/>
        <v>66</v>
      </c>
      <c r="S24" s="19"/>
    </row>
    <row r="25" spans="1:19" ht="15.75" customHeight="1" x14ac:dyDescent="0.25">
      <c r="A25" s="65">
        <v>101279</v>
      </c>
      <c r="B25" s="66">
        <v>46073</v>
      </c>
      <c r="C25" s="67" t="s">
        <v>48</v>
      </c>
      <c r="D25" s="67" t="s">
        <v>58</v>
      </c>
      <c r="E25" s="67" t="s">
        <v>59</v>
      </c>
      <c r="F25" s="68"/>
      <c r="G25" s="68"/>
      <c r="H25" s="68"/>
      <c r="I25" s="68"/>
      <c r="J25" s="69"/>
      <c r="K25" s="68"/>
      <c r="L25" s="68"/>
      <c r="M25" s="68">
        <v>17</v>
      </c>
      <c r="N25" s="68">
        <v>9</v>
      </c>
      <c r="O25" s="68"/>
      <c r="P25" s="68"/>
      <c r="Q25" s="70">
        <v>40</v>
      </c>
      <c r="R25" s="71">
        <f t="shared" si="0"/>
        <v>66</v>
      </c>
      <c r="S25" s="19"/>
    </row>
    <row r="26" spans="1:19" ht="15.75" customHeight="1" x14ac:dyDescent="0.25">
      <c r="A26" s="65">
        <v>100859</v>
      </c>
      <c r="B26" s="66">
        <v>46057</v>
      </c>
      <c r="C26" s="67" t="s">
        <v>48</v>
      </c>
      <c r="D26" s="67" t="s">
        <v>61</v>
      </c>
      <c r="E26" s="67" t="s">
        <v>60</v>
      </c>
      <c r="F26" s="68"/>
      <c r="G26" s="68"/>
      <c r="H26" s="68"/>
      <c r="I26" s="68"/>
      <c r="J26" s="69"/>
      <c r="K26" s="68"/>
      <c r="L26" s="68"/>
      <c r="M26" s="68">
        <v>17</v>
      </c>
      <c r="N26" s="68">
        <v>9</v>
      </c>
      <c r="O26" s="68"/>
      <c r="P26" s="68"/>
      <c r="Q26" s="70">
        <v>40</v>
      </c>
      <c r="R26" s="71">
        <f t="shared" si="0"/>
        <v>66</v>
      </c>
      <c r="S26" s="19"/>
    </row>
    <row r="27" spans="1:19" ht="15.75" customHeight="1" x14ac:dyDescent="0.25">
      <c r="A27" s="65">
        <v>100831</v>
      </c>
      <c r="B27" s="66">
        <v>46056</v>
      </c>
      <c r="C27" s="67" t="s">
        <v>48</v>
      </c>
      <c r="D27" s="67" t="s">
        <v>23</v>
      </c>
      <c r="E27" s="67" t="s">
        <v>62</v>
      </c>
      <c r="F27" s="68"/>
      <c r="G27" s="68"/>
      <c r="H27" s="68"/>
      <c r="I27" s="68"/>
      <c r="J27" s="69"/>
      <c r="K27" s="68"/>
      <c r="L27" s="68"/>
      <c r="M27" s="68">
        <v>17</v>
      </c>
      <c r="N27" s="68">
        <v>9</v>
      </c>
      <c r="O27" s="68"/>
      <c r="P27" s="68"/>
      <c r="Q27" s="70">
        <v>40</v>
      </c>
      <c r="R27" s="71">
        <f t="shared" si="0"/>
        <v>66</v>
      </c>
      <c r="S27" s="19"/>
    </row>
    <row r="28" spans="1:19" ht="15.75" customHeight="1" x14ac:dyDescent="0.25">
      <c r="A28" s="65">
        <v>100858</v>
      </c>
      <c r="B28" s="66">
        <v>46057</v>
      </c>
      <c r="C28" s="67" t="s">
        <v>48</v>
      </c>
      <c r="D28" s="67" t="s">
        <v>23</v>
      </c>
      <c r="E28" s="67" t="s">
        <v>63</v>
      </c>
      <c r="F28" s="68"/>
      <c r="G28" s="68"/>
      <c r="H28" s="68"/>
      <c r="I28" s="68"/>
      <c r="J28" s="69"/>
      <c r="K28" s="68"/>
      <c r="L28" s="68"/>
      <c r="M28" s="68">
        <v>17</v>
      </c>
      <c r="N28" s="68">
        <v>9</v>
      </c>
      <c r="O28" s="68"/>
      <c r="P28" s="68"/>
      <c r="Q28" s="70">
        <v>40</v>
      </c>
      <c r="R28" s="71">
        <f t="shared" si="0"/>
        <v>66</v>
      </c>
      <c r="S28" s="19"/>
    </row>
    <row r="29" spans="1:19" ht="23.25" customHeight="1" x14ac:dyDescent="0.25">
      <c r="A29" s="65">
        <v>101310</v>
      </c>
      <c r="B29" s="66">
        <v>46076</v>
      </c>
      <c r="C29" s="67" t="s">
        <v>48</v>
      </c>
      <c r="D29" s="67" t="s">
        <v>46</v>
      </c>
      <c r="E29" s="67" t="s">
        <v>64</v>
      </c>
      <c r="F29" s="68"/>
      <c r="G29" s="68"/>
      <c r="H29" s="68"/>
      <c r="I29" s="68"/>
      <c r="J29" s="69"/>
      <c r="K29" s="68"/>
      <c r="L29" s="68"/>
      <c r="M29" s="68"/>
      <c r="N29" s="68"/>
      <c r="O29" s="68"/>
      <c r="P29" s="68"/>
      <c r="Q29" s="70">
        <v>40</v>
      </c>
      <c r="R29" s="71">
        <f t="shared" si="0"/>
        <v>40</v>
      </c>
      <c r="S29" s="61" t="s">
        <v>94</v>
      </c>
    </row>
    <row r="30" spans="1:19" ht="15.75" customHeight="1" x14ac:dyDescent="0.25">
      <c r="A30" s="65">
        <v>101370</v>
      </c>
      <c r="B30" s="66">
        <v>46077</v>
      </c>
      <c r="C30" s="67" t="s">
        <v>48</v>
      </c>
      <c r="D30" s="67" t="s">
        <v>65</v>
      </c>
      <c r="E30" s="67" t="s">
        <v>66</v>
      </c>
      <c r="F30" s="68"/>
      <c r="G30" s="68"/>
      <c r="H30" s="68"/>
      <c r="I30" s="68"/>
      <c r="J30" s="69"/>
      <c r="K30" s="68"/>
      <c r="L30" s="68"/>
      <c r="M30" s="68">
        <v>17</v>
      </c>
      <c r="N30" s="68">
        <v>9</v>
      </c>
      <c r="O30" s="68"/>
      <c r="P30" s="68"/>
      <c r="Q30" s="70">
        <v>40</v>
      </c>
      <c r="R30" s="71">
        <f t="shared" si="0"/>
        <v>66</v>
      </c>
      <c r="S30" s="19"/>
    </row>
    <row r="31" spans="1:19" ht="15.75" customHeight="1" x14ac:dyDescent="0.25">
      <c r="A31" s="65">
        <v>101374</v>
      </c>
      <c r="B31" s="66">
        <v>46077</v>
      </c>
      <c r="C31" s="67" t="s">
        <v>48</v>
      </c>
      <c r="D31" s="67" t="s">
        <v>67</v>
      </c>
      <c r="E31" s="67" t="s">
        <v>68</v>
      </c>
      <c r="F31" s="68"/>
      <c r="G31" s="68"/>
      <c r="H31" s="68"/>
      <c r="I31" s="68"/>
      <c r="J31" s="69"/>
      <c r="K31" s="68"/>
      <c r="L31" s="68"/>
      <c r="M31" s="68">
        <v>17</v>
      </c>
      <c r="N31" s="68">
        <v>9</v>
      </c>
      <c r="O31" s="68"/>
      <c r="P31" s="68"/>
      <c r="Q31" s="70">
        <v>40</v>
      </c>
      <c r="R31" s="71">
        <f t="shared" si="0"/>
        <v>66</v>
      </c>
      <c r="S31" s="19"/>
    </row>
    <row r="32" spans="1:19" ht="15.75" customHeight="1" x14ac:dyDescent="0.25">
      <c r="A32" s="65">
        <v>101375</v>
      </c>
      <c r="B32" s="66">
        <v>46077</v>
      </c>
      <c r="C32" s="67" t="s">
        <v>48</v>
      </c>
      <c r="D32" s="67" t="s">
        <v>69</v>
      </c>
      <c r="E32" s="67" t="s">
        <v>70</v>
      </c>
      <c r="F32" s="68"/>
      <c r="G32" s="68"/>
      <c r="H32" s="68"/>
      <c r="I32" s="68"/>
      <c r="J32" s="69"/>
      <c r="K32" s="68"/>
      <c r="L32" s="68"/>
      <c r="M32" s="68">
        <v>17</v>
      </c>
      <c r="N32" s="68">
        <v>9</v>
      </c>
      <c r="O32" s="68"/>
      <c r="P32" s="68"/>
      <c r="Q32" s="70">
        <v>40</v>
      </c>
      <c r="R32" s="71">
        <f t="shared" si="0"/>
        <v>66</v>
      </c>
      <c r="S32" s="19"/>
    </row>
    <row r="33" spans="1:19" ht="15.75" customHeight="1" x14ac:dyDescent="0.25">
      <c r="A33" s="65">
        <v>101377</v>
      </c>
      <c r="B33" s="66">
        <v>46077</v>
      </c>
      <c r="C33" s="67" t="s">
        <v>48</v>
      </c>
      <c r="D33" s="67" t="s">
        <v>71</v>
      </c>
      <c r="E33" s="67" t="s">
        <v>72</v>
      </c>
      <c r="F33" s="68"/>
      <c r="G33" s="68"/>
      <c r="H33" s="68"/>
      <c r="I33" s="68"/>
      <c r="J33" s="69"/>
      <c r="K33" s="68"/>
      <c r="L33" s="68"/>
      <c r="M33" s="68">
        <v>17</v>
      </c>
      <c r="N33" s="68">
        <v>9</v>
      </c>
      <c r="O33" s="68"/>
      <c r="P33" s="68"/>
      <c r="Q33" s="70">
        <v>40</v>
      </c>
      <c r="R33" s="71">
        <f t="shared" si="0"/>
        <v>66</v>
      </c>
      <c r="S33" s="19"/>
    </row>
    <row r="34" spans="1:19" ht="15.75" customHeight="1" x14ac:dyDescent="0.25">
      <c r="A34" s="65">
        <v>101380</v>
      </c>
      <c r="B34" s="66">
        <v>46077</v>
      </c>
      <c r="C34" s="67" t="s">
        <v>48</v>
      </c>
      <c r="D34" s="67" t="s">
        <v>20</v>
      </c>
      <c r="E34" s="67" t="s">
        <v>73</v>
      </c>
      <c r="F34" s="68"/>
      <c r="G34" s="68"/>
      <c r="H34" s="68"/>
      <c r="I34" s="68"/>
      <c r="J34" s="69"/>
      <c r="K34" s="68"/>
      <c r="L34" s="68"/>
      <c r="M34" s="68">
        <v>17</v>
      </c>
      <c r="N34" s="68">
        <v>9</v>
      </c>
      <c r="O34" s="68"/>
      <c r="P34" s="68"/>
      <c r="Q34" s="70">
        <v>40</v>
      </c>
      <c r="R34" s="71">
        <f t="shared" si="0"/>
        <v>66</v>
      </c>
      <c r="S34" s="19"/>
    </row>
    <row r="35" spans="1:19" ht="15.75" customHeight="1" x14ac:dyDescent="0.25">
      <c r="A35" s="65">
        <v>101381</v>
      </c>
      <c r="B35" s="66">
        <v>46077</v>
      </c>
      <c r="C35" s="67" t="s">
        <v>48</v>
      </c>
      <c r="D35" s="67" t="s">
        <v>65</v>
      </c>
      <c r="E35" s="67" t="s">
        <v>74</v>
      </c>
      <c r="F35" s="68"/>
      <c r="G35" s="68"/>
      <c r="H35" s="68"/>
      <c r="I35" s="68"/>
      <c r="J35" s="69"/>
      <c r="K35" s="68"/>
      <c r="L35" s="68"/>
      <c r="M35" s="68">
        <v>17</v>
      </c>
      <c r="N35" s="68">
        <v>9</v>
      </c>
      <c r="O35" s="68"/>
      <c r="P35" s="68"/>
      <c r="Q35" s="70">
        <v>40</v>
      </c>
      <c r="R35" s="71">
        <f t="shared" si="0"/>
        <v>66</v>
      </c>
      <c r="S35" s="19"/>
    </row>
    <row r="36" spans="1:19" ht="15.75" customHeight="1" x14ac:dyDescent="0.25">
      <c r="A36" s="65">
        <v>101383</v>
      </c>
      <c r="B36" s="66">
        <v>46077</v>
      </c>
      <c r="C36" s="67" t="s">
        <v>48</v>
      </c>
      <c r="D36" s="67" t="s">
        <v>75</v>
      </c>
      <c r="E36" s="67" t="s">
        <v>76</v>
      </c>
      <c r="F36" s="68"/>
      <c r="G36" s="68"/>
      <c r="H36" s="68"/>
      <c r="I36" s="68"/>
      <c r="J36" s="69"/>
      <c r="K36" s="68"/>
      <c r="L36" s="68"/>
      <c r="M36" s="68">
        <v>17</v>
      </c>
      <c r="N36" s="68">
        <v>9</v>
      </c>
      <c r="O36" s="68"/>
      <c r="P36" s="68"/>
      <c r="Q36" s="70">
        <v>40</v>
      </c>
      <c r="R36" s="71">
        <f t="shared" si="0"/>
        <v>66</v>
      </c>
      <c r="S36" s="19"/>
    </row>
    <row r="37" spans="1:19" ht="15.75" customHeight="1" x14ac:dyDescent="0.25">
      <c r="A37" s="65">
        <v>101321</v>
      </c>
      <c r="B37" s="66">
        <v>46076</v>
      </c>
      <c r="C37" s="67" t="s">
        <v>48</v>
      </c>
      <c r="D37" s="67" t="s">
        <v>77</v>
      </c>
      <c r="E37" s="67" t="s">
        <v>78</v>
      </c>
      <c r="F37" s="68"/>
      <c r="G37" s="68"/>
      <c r="H37" s="68"/>
      <c r="I37" s="68"/>
      <c r="J37" s="69"/>
      <c r="K37" s="68"/>
      <c r="L37" s="68"/>
      <c r="M37" s="68">
        <v>17</v>
      </c>
      <c r="N37" s="68">
        <v>9</v>
      </c>
      <c r="O37" s="68"/>
      <c r="P37" s="68"/>
      <c r="Q37" s="70">
        <v>40</v>
      </c>
      <c r="R37" s="71">
        <f t="shared" si="0"/>
        <v>66</v>
      </c>
      <c r="S37" s="19"/>
    </row>
    <row r="38" spans="1:19" x14ac:dyDescent="0.25">
      <c r="A38" s="72">
        <v>101359</v>
      </c>
      <c r="B38" s="73">
        <v>46077</v>
      </c>
      <c r="C38" s="67" t="s">
        <v>48</v>
      </c>
      <c r="D38" s="74" t="s">
        <v>80</v>
      </c>
      <c r="E38" s="74" t="s">
        <v>79</v>
      </c>
      <c r="F38" s="75"/>
      <c r="G38" s="75"/>
      <c r="H38" s="75"/>
      <c r="I38" s="75"/>
      <c r="J38" s="76"/>
      <c r="K38" s="75"/>
      <c r="L38" s="75"/>
      <c r="M38" s="75">
        <v>17</v>
      </c>
      <c r="N38" s="75">
        <v>9</v>
      </c>
      <c r="O38" s="75"/>
      <c r="P38" s="75"/>
      <c r="Q38" s="77">
        <v>40</v>
      </c>
      <c r="R38" s="78">
        <f t="shared" si="0"/>
        <v>66</v>
      </c>
      <c r="S38" s="55"/>
    </row>
    <row r="39" spans="1:19" x14ac:dyDescent="0.25">
      <c r="A39" s="72">
        <v>101418</v>
      </c>
      <c r="B39" s="73">
        <v>46078</v>
      </c>
      <c r="C39" s="67" t="s">
        <v>48</v>
      </c>
      <c r="D39" s="74" t="s">
        <v>37</v>
      </c>
      <c r="E39" s="74" t="s">
        <v>38</v>
      </c>
      <c r="F39" s="75"/>
      <c r="G39" s="75"/>
      <c r="H39" s="75"/>
      <c r="I39" s="75"/>
      <c r="J39" s="76"/>
      <c r="K39" s="75"/>
      <c r="L39" s="75"/>
      <c r="M39" s="75">
        <v>17</v>
      </c>
      <c r="N39" s="75">
        <v>9</v>
      </c>
      <c r="O39" s="75"/>
      <c r="P39" s="75"/>
      <c r="Q39" s="77">
        <v>40</v>
      </c>
      <c r="R39" s="78">
        <f t="shared" si="0"/>
        <v>66</v>
      </c>
      <c r="S39" s="55"/>
    </row>
    <row r="40" spans="1:19" x14ac:dyDescent="0.25">
      <c r="A40" s="72">
        <v>101453</v>
      </c>
      <c r="B40" s="73">
        <v>46079</v>
      </c>
      <c r="C40" s="67" t="s">
        <v>48</v>
      </c>
      <c r="D40" s="74" t="s">
        <v>23</v>
      </c>
      <c r="E40" s="74" t="s">
        <v>81</v>
      </c>
      <c r="F40" s="75"/>
      <c r="G40" s="75"/>
      <c r="H40" s="75"/>
      <c r="I40" s="75"/>
      <c r="J40" s="76"/>
      <c r="K40" s="75"/>
      <c r="L40" s="75"/>
      <c r="M40" s="75">
        <v>17</v>
      </c>
      <c r="N40" s="75">
        <v>9</v>
      </c>
      <c r="O40" s="75"/>
      <c r="P40" s="75"/>
      <c r="Q40" s="77">
        <v>40</v>
      </c>
      <c r="R40" s="78">
        <f t="shared" si="0"/>
        <v>66</v>
      </c>
      <c r="S40" s="55"/>
    </row>
    <row r="41" spans="1:19" x14ac:dyDescent="0.25">
      <c r="A41" s="72">
        <v>100792</v>
      </c>
      <c r="B41" s="73">
        <v>46055</v>
      </c>
      <c r="C41" s="67" t="s">
        <v>48</v>
      </c>
      <c r="D41" s="74" t="s">
        <v>82</v>
      </c>
      <c r="E41" s="74" t="s">
        <v>83</v>
      </c>
      <c r="F41" s="75"/>
      <c r="G41" s="75"/>
      <c r="H41" s="75"/>
      <c r="I41" s="75"/>
      <c r="J41" s="76"/>
      <c r="K41" s="75"/>
      <c r="L41" s="75"/>
      <c r="M41" s="75">
        <v>17</v>
      </c>
      <c r="N41" s="75">
        <v>9</v>
      </c>
      <c r="O41" s="75"/>
      <c r="P41" s="75"/>
      <c r="Q41" s="77">
        <v>40</v>
      </c>
      <c r="R41" s="78">
        <f t="shared" si="0"/>
        <v>66</v>
      </c>
      <c r="S41" s="55"/>
    </row>
    <row r="42" spans="1:19" x14ac:dyDescent="0.25">
      <c r="A42" s="72">
        <v>100820</v>
      </c>
      <c r="B42" s="73">
        <v>46056</v>
      </c>
      <c r="C42" s="67" t="s">
        <v>48</v>
      </c>
      <c r="D42" s="74" t="s">
        <v>84</v>
      </c>
      <c r="E42" s="74" t="s">
        <v>85</v>
      </c>
      <c r="F42" s="75"/>
      <c r="G42" s="75"/>
      <c r="H42" s="75"/>
      <c r="I42" s="75"/>
      <c r="J42" s="76"/>
      <c r="K42" s="75"/>
      <c r="L42" s="75"/>
      <c r="M42" s="75">
        <v>17</v>
      </c>
      <c r="N42" s="75">
        <v>9</v>
      </c>
      <c r="O42" s="75"/>
      <c r="P42" s="75"/>
      <c r="Q42" s="77">
        <v>40</v>
      </c>
      <c r="R42" s="78">
        <f t="shared" si="0"/>
        <v>66</v>
      </c>
      <c r="S42" s="55"/>
    </row>
    <row r="43" spans="1:19" x14ac:dyDescent="0.25">
      <c r="A43" s="72">
        <v>101466</v>
      </c>
      <c r="B43" s="73">
        <v>46079</v>
      </c>
      <c r="C43" s="67" t="s">
        <v>48</v>
      </c>
      <c r="D43" s="74" t="s">
        <v>86</v>
      </c>
      <c r="E43" s="74" t="s">
        <v>87</v>
      </c>
      <c r="F43" s="75"/>
      <c r="G43" s="75"/>
      <c r="H43" s="75"/>
      <c r="I43" s="75"/>
      <c r="J43" s="76"/>
      <c r="K43" s="75"/>
      <c r="L43" s="75"/>
      <c r="M43" s="75">
        <v>17</v>
      </c>
      <c r="N43" s="75">
        <v>9</v>
      </c>
      <c r="O43" s="75"/>
      <c r="P43" s="75"/>
      <c r="Q43" s="77">
        <v>40</v>
      </c>
      <c r="R43" s="78">
        <f t="shared" si="0"/>
        <v>66</v>
      </c>
      <c r="S43" s="55"/>
    </row>
    <row r="44" spans="1:19" x14ac:dyDescent="0.25">
      <c r="A44" s="72">
        <v>101503</v>
      </c>
      <c r="B44" s="73">
        <v>46080</v>
      </c>
      <c r="C44" s="74" t="s">
        <v>22</v>
      </c>
      <c r="D44" s="74" t="s">
        <v>88</v>
      </c>
      <c r="E44" s="74" t="s">
        <v>89</v>
      </c>
      <c r="F44" s="75"/>
      <c r="G44" s="75"/>
      <c r="H44" s="75"/>
      <c r="I44" s="75"/>
      <c r="J44" s="76"/>
      <c r="K44" s="75"/>
      <c r="L44" s="75"/>
      <c r="M44" s="75"/>
      <c r="N44" s="75"/>
      <c r="O44" s="75"/>
      <c r="P44" s="75">
        <v>183.12</v>
      </c>
      <c r="Q44" s="77">
        <v>60</v>
      </c>
      <c r="R44" s="78">
        <f>SUM(K44:Q44)</f>
        <v>243.12</v>
      </c>
      <c r="S44" s="55"/>
    </row>
    <row r="45" spans="1:19" x14ac:dyDescent="0.25">
      <c r="A45" s="72">
        <v>101505</v>
      </c>
      <c r="B45" s="73">
        <v>46080</v>
      </c>
      <c r="C45" s="74" t="s">
        <v>48</v>
      </c>
      <c r="D45" s="74" t="s">
        <v>20</v>
      </c>
      <c r="E45" s="74" t="s">
        <v>90</v>
      </c>
      <c r="F45" s="75"/>
      <c r="G45" s="75"/>
      <c r="H45" s="75"/>
      <c r="I45" s="75"/>
      <c r="J45" s="76"/>
      <c r="K45" s="75"/>
      <c r="L45" s="75"/>
      <c r="M45" s="75">
        <v>17</v>
      </c>
      <c r="N45" s="75">
        <v>9</v>
      </c>
      <c r="O45" s="75"/>
      <c r="P45" s="75"/>
      <c r="Q45" s="77">
        <v>40</v>
      </c>
      <c r="R45" s="78">
        <f>SUM(K45:Q45)</f>
        <v>66</v>
      </c>
      <c r="S45" s="55"/>
    </row>
    <row r="46" spans="1:19" x14ac:dyDescent="0.25">
      <c r="A46" s="72">
        <v>101514</v>
      </c>
      <c r="B46" s="73">
        <v>46080</v>
      </c>
      <c r="C46" s="74" t="s">
        <v>22</v>
      </c>
      <c r="D46" s="74" t="s">
        <v>33</v>
      </c>
      <c r="E46" s="74" t="s">
        <v>91</v>
      </c>
      <c r="F46" s="75"/>
      <c r="G46" s="75"/>
      <c r="H46" s="75"/>
      <c r="I46" s="75"/>
      <c r="J46" s="76"/>
      <c r="K46" s="75"/>
      <c r="L46" s="75"/>
      <c r="M46" s="75"/>
      <c r="N46" s="75"/>
      <c r="O46" s="75"/>
      <c r="P46" s="75">
        <v>183.12</v>
      </c>
      <c r="Q46" s="77">
        <v>60</v>
      </c>
      <c r="R46" s="78">
        <f>SUM(K46:Q46)</f>
        <v>243.12</v>
      </c>
      <c r="S46" s="55"/>
    </row>
    <row r="47" spans="1:19" x14ac:dyDescent="0.25">
      <c r="A47" s="72">
        <v>101516</v>
      </c>
      <c r="B47" s="73">
        <v>46080</v>
      </c>
      <c r="C47" s="74" t="s">
        <v>22</v>
      </c>
      <c r="D47" s="74" t="s">
        <v>92</v>
      </c>
      <c r="E47" s="74" t="s">
        <v>93</v>
      </c>
      <c r="F47" s="75"/>
      <c r="G47" s="75"/>
      <c r="H47" s="75"/>
      <c r="I47" s="75"/>
      <c r="J47" s="76"/>
      <c r="K47" s="75"/>
      <c r="L47" s="75"/>
      <c r="M47" s="75"/>
      <c r="N47" s="75"/>
      <c r="O47" s="75"/>
      <c r="P47" s="75">
        <v>183.12</v>
      </c>
      <c r="Q47" s="77">
        <v>60</v>
      </c>
      <c r="R47" s="78">
        <f>SUM(K47:Q47)</f>
        <v>243.12</v>
      </c>
      <c r="S47" s="55"/>
    </row>
    <row r="48" spans="1:19" x14ac:dyDescent="0.25">
      <c r="A48" s="49"/>
      <c r="B48" s="50"/>
      <c r="C48" s="51"/>
      <c r="D48" s="51"/>
      <c r="E48" s="51"/>
      <c r="F48" s="52"/>
      <c r="G48" s="52"/>
      <c r="H48" s="52"/>
      <c r="I48" s="52"/>
      <c r="J48" s="53"/>
      <c r="K48" s="52"/>
      <c r="L48" s="52"/>
      <c r="M48" s="52"/>
      <c r="N48" s="52"/>
      <c r="O48" s="52"/>
      <c r="P48" s="52"/>
      <c r="Q48" s="54"/>
      <c r="R48" s="58"/>
      <c r="S48" s="55"/>
    </row>
    <row r="49" spans="1:19" ht="15.75" thickBot="1" x14ac:dyDescent="0.3">
      <c r="A49" s="11"/>
      <c r="B49" s="17"/>
      <c r="C49" s="12"/>
      <c r="D49" s="12"/>
      <c r="E49" s="12"/>
      <c r="F49" s="13"/>
      <c r="G49" s="13"/>
      <c r="H49" s="13"/>
      <c r="I49" s="13"/>
      <c r="J49" s="14"/>
      <c r="K49" s="13"/>
      <c r="L49" s="13"/>
      <c r="M49" s="13"/>
      <c r="N49" s="13"/>
      <c r="O49" s="24"/>
      <c r="P49" s="13"/>
      <c r="Q49" s="15"/>
      <c r="R49" s="59"/>
      <c r="S49" s="20"/>
    </row>
    <row r="50" spans="1:19" ht="15.75" thickBot="1" x14ac:dyDescent="0.3">
      <c r="A50" s="7"/>
      <c r="B50" s="7"/>
      <c r="C50" s="7"/>
      <c r="D50" s="7"/>
      <c r="E50" s="7"/>
      <c r="F50" s="42"/>
      <c r="G50" s="43"/>
      <c r="H50" s="43"/>
      <c r="I50" s="43"/>
      <c r="J50" s="44"/>
      <c r="K50" s="45">
        <f t="shared" ref="K50:Q50" si="1">SUM(K3:K49)</f>
        <v>149.37</v>
      </c>
      <c r="L50" s="45">
        <f t="shared" si="1"/>
        <v>34.9</v>
      </c>
      <c r="M50" s="45">
        <f t="shared" si="1"/>
        <v>476</v>
      </c>
      <c r="N50" s="45">
        <f t="shared" si="1"/>
        <v>243</v>
      </c>
      <c r="O50" s="45">
        <f t="shared" si="1"/>
        <v>45</v>
      </c>
      <c r="P50" s="45">
        <f t="shared" si="1"/>
        <v>2197.4399999999996</v>
      </c>
      <c r="Q50" s="46">
        <f t="shared" si="1"/>
        <v>2005.1</v>
      </c>
      <c r="R50" s="48">
        <f>SUM(K50:Q50)</f>
        <v>5150.8099999999995</v>
      </c>
      <c r="S50" s="8"/>
    </row>
    <row r="51" spans="1:19" x14ac:dyDescent="0.25">
      <c r="A51" s="1"/>
      <c r="B51" s="1"/>
    </row>
    <row r="54" spans="1:19" x14ac:dyDescent="0.25"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77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</sheetData>
  <mergeCells count="1">
    <mergeCell ref="A1:S1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TERMINAL10</dc:creator>
  <cp:lastModifiedBy>User</cp:lastModifiedBy>
  <cp:lastPrinted>2026-03-02T20:48:38Z</cp:lastPrinted>
  <dcterms:created xsi:type="dcterms:W3CDTF">2025-06-18T19:16:46Z</dcterms:created>
  <dcterms:modified xsi:type="dcterms:W3CDTF">2026-05-21T17:44:59Z</dcterms:modified>
</cp:coreProperties>
</file>