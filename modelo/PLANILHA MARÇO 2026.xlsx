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8A5DB3DD-777E-4571-8F0D-0831E0629A67}" xr6:coauthVersionLast="36" xr6:coauthVersionMax="36" xr10:uidLastSave="{00000000-0000-0000-0000-000000000000}"/>
  <bookViews>
    <workbookView xWindow="0" yWindow="0" windowWidth="17760" windowHeight="11370" xr2:uid="{00000000-000D-0000-FFFF-FFFF00000000}"/>
  </bookViews>
  <sheets>
    <sheet name="Dados Organizados" sheetId="1" r:id="rId1"/>
    <sheet name="__totals__" sheetId="2" state="hidden" r:id="rId2"/>
  </sheets>
  <definedNames>
    <definedName name="_xlnm.Print_Titles" localSheetId="0">'Dados Organizados'!$1:$2</definedName>
  </definedNames>
  <calcPr calcId="191029"/>
</workbook>
</file>

<file path=xl/calcChain.xml><?xml version="1.0" encoding="utf-8"?>
<calcChain xmlns="http://schemas.openxmlformats.org/spreadsheetml/2006/main">
  <c r="G52" i="1" l="1"/>
  <c r="H52" i="1"/>
  <c r="I52" i="1"/>
  <c r="J52" i="1"/>
  <c r="K52" i="1"/>
  <c r="K6" i="1" l="1"/>
  <c r="K7" i="1"/>
  <c r="K15" i="1"/>
  <c r="K22" i="1"/>
  <c r="K23" i="1"/>
  <c r="K24" i="1"/>
  <c r="K25" i="1"/>
  <c r="K26" i="1"/>
  <c r="K36" i="1"/>
  <c r="K51" i="1"/>
  <c r="K50" i="1"/>
  <c r="K49" i="1"/>
  <c r="K48" i="1"/>
  <c r="K47" i="1"/>
  <c r="K42" i="1"/>
  <c r="K43" i="1"/>
  <c r="K44" i="1"/>
  <c r="K45" i="1"/>
  <c r="K46" i="1"/>
  <c r="K37" i="1"/>
  <c r="K38" i="1"/>
  <c r="K39" i="1"/>
  <c r="K40" i="1"/>
  <c r="K41" i="1"/>
  <c r="K31" i="1"/>
  <c r="K32" i="1"/>
  <c r="K33" i="1"/>
  <c r="K34" i="1"/>
  <c r="K35" i="1"/>
  <c r="K27" i="1"/>
  <c r="K28" i="1"/>
  <c r="K29" i="1"/>
  <c r="K30" i="1"/>
  <c r="K20" i="1"/>
  <c r="K21" i="1"/>
  <c r="K16" i="1"/>
  <c r="K17" i="1"/>
  <c r="K18" i="1"/>
  <c r="K19" i="1"/>
  <c r="K14" i="1"/>
  <c r="K13" i="1" l="1"/>
  <c r="K12" i="1"/>
  <c r="K11" i="1"/>
  <c r="K10" i="1"/>
  <c r="K9" i="1"/>
  <c r="K8" i="1"/>
  <c r="K5" i="1"/>
  <c r="K4" i="1"/>
  <c r="K3" i="1"/>
</calcChain>
</file>

<file path=xl/sharedStrings.xml><?xml version="1.0" encoding="utf-8"?>
<sst xmlns="http://schemas.openxmlformats.org/spreadsheetml/2006/main" count="364" uniqueCount="201">
  <si>
    <t>OS.</t>
  </si>
  <si>
    <t>DATA.</t>
  </si>
  <si>
    <t>SERVIÇO</t>
  </si>
  <si>
    <t>MARCA/MODELO</t>
  </si>
  <si>
    <t>PLACA</t>
  </si>
  <si>
    <t>CLIENTE</t>
  </si>
  <si>
    <t>ATPVE</t>
  </si>
  <si>
    <t>ATPVE + ASS + COMUNICAÇÃO DE VENDA</t>
  </si>
  <si>
    <t>REGISTRO DE VEICULO</t>
  </si>
  <si>
    <t>TRANSFERENCIA</t>
  </si>
  <si>
    <t>PRIMEIRO EMPLACAMENTO</t>
  </si>
  <si>
    <t>SERVIÇO DESPACHANTE (HONORÁRIO)</t>
  </si>
  <si>
    <t>TOTAL</t>
  </si>
  <si>
    <t>102725</t>
  </si>
  <si>
    <t>30/03/2026</t>
  </si>
  <si>
    <t>HONDA/BIZ 125</t>
  </si>
  <si>
    <t>RXY3H94</t>
  </si>
  <si>
    <t>RITA ARAUJO DE OLIVEIRA</t>
  </si>
  <si>
    <t/>
  </si>
  <si>
    <t>102702</t>
  </si>
  <si>
    <t>28/03/2026</t>
  </si>
  <si>
    <t>HONDA/NXR160 BROS ESDD</t>
  </si>
  <si>
    <t>RXU5C99</t>
  </si>
  <si>
    <t>FRANCIANE VICENTE ROSA</t>
  </si>
  <si>
    <t>102697</t>
  </si>
  <si>
    <t>RXO5B99</t>
  </si>
  <si>
    <t>ANA KAROLINY DE OLIVEIRA LIMA</t>
  </si>
  <si>
    <t>102647</t>
  </si>
  <si>
    <t>27/03/2026</t>
  </si>
  <si>
    <t>HONDA/BIZ EX</t>
  </si>
  <si>
    <t>TQC5B72</t>
  </si>
  <si>
    <t>EDUARDO DA SILVA DAMASIO</t>
  </si>
  <si>
    <t>102645</t>
  </si>
  <si>
    <t>HONDA/CB300F TWISTER CBS</t>
  </si>
  <si>
    <t>TQC5B32</t>
  </si>
  <si>
    <t>102594</t>
  </si>
  <si>
    <t>26/03/2026</t>
  </si>
  <si>
    <t>HONDA/NXR160 BROS ESD</t>
  </si>
  <si>
    <t>QHG2B38</t>
  </si>
  <si>
    <t>JOAO DA SILVA FLORIANO</t>
  </si>
  <si>
    <t>102591</t>
  </si>
  <si>
    <t>HONDA/XRE 190</t>
  </si>
  <si>
    <t>RXQ4C22</t>
  </si>
  <si>
    <t>CLEIDE LONGO DELA VEDOVA PASSARELA</t>
  </si>
  <si>
    <t>102573</t>
  </si>
  <si>
    <t>HONDA/BIZ 125 ES</t>
  </si>
  <si>
    <t>MLI4A65</t>
  </si>
  <si>
    <t>MORGANA FARIAS CRUZ</t>
  </si>
  <si>
    <t>102572</t>
  </si>
  <si>
    <t>25/03/2026</t>
  </si>
  <si>
    <t>HONDA/BIZ 110Ι</t>
  </si>
  <si>
    <t>QHV3E57</t>
  </si>
  <si>
    <t>ANA CASSIA PEREIRA DOS SANTOS</t>
  </si>
  <si>
    <t>102560</t>
  </si>
  <si>
    <t>RYS0G98</t>
  </si>
  <si>
    <t>MAXIMINIO DA SILVA</t>
  </si>
  <si>
    <t>102559</t>
  </si>
  <si>
    <t>BMW/F800 GS</t>
  </si>
  <si>
    <t>QIN9D12</t>
  </si>
  <si>
    <t>EDJALMA MEDEIROS CORREA</t>
  </si>
  <si>
    <t>102448</t>
  </si>
  <si>
    <t>23/03/2026</t>
  </si>
  <si>
    <t>HONDA/CG 160 FAN</t>
  </si>
  <si>
    <t>RYK4F88</t>
  </si>
  <si>
    <t>DAN LUCAS SEBBEN</t>
  </si>
  <si>
    <t>102413</t>
  </si>
  <si>
    <t>HONDA/CG 160 START</t>
  </si>
  <si>
    <t>RYZ5J82</t>
  </si>
  <si>
    <t>ERICK FLORENTINO DA SILVA</t>
  </si>
  <si>
    <t>102400</t>
  </si>
  <si>
    <t>/BMW/F750 GS</t>
  </si>
  <si>
    <t>IZP2G98</t>
  </si>
  <si>
    <t>VICTOR TOLENTINO DA ROSA</t>
  </si>
  <si>
    <t>102399</t>
  </si>
  <si>
    <t>HONDA/ADV 150</t>
  </si>
  <si>
    <t>JAQ4B32</t>
  </si>
  <si>
    <t>EWERSON OLIVEIRA CACHOEIRA</t>
  </si>
  <si>
    <t>102397</t>
  </si>
  <si>
    <t>RKZ4D58</t>
  </si>
  <si>
    <t>GADIEL CARDOSO PACHECO</t>
  </si>
  <si>
    <t>102391</t>
  </si>
  <si>
    <t>20/03/2026</t>
  </si>
  <si>
    <t>QIW9G61</t>
  </si>
  <si>
    <t>KARLA HENRIQUE MOTA</t>
  </si>
  <si>
    <t>102341</t>
  </si>
  <si>
    <t>19/03/2026</t>
  </si>
  <si>
    <t>HONDA/PCX 160 DLX ABS</t>
  </si>
  <si>
    <t>SXN0H75</t>
  </si>
  <si>
    <t>YASMIM MEDEIROS DE SOUZA</t>
  </si>
  <si>
    <t>102331</t>
  </si>
  <si>
    <t>HONDA/CG 160 TITAN</t>
  </si>
  <si>
    <t>TPS9G22</t>
  </si>
  <si>
    <t>CAROLINE DA CRUZ FRAGA</t>
  </si>
  <si>
    <t>102318</t>
  </si>
  <si>
    <t>RYU4J03</t>
  </si>
  <si>
    <t>102317</t>
  </si>
  <si>
    <t>102313</t>
  </si>
  <si>
    <t>102312</t>
  </si>
  <si>
    <t>102298</t>
  </si>
  <si>
    <t>EMISSAO DE LICENCIAMENTO</t>
  </si>
  <si>
    <t>BMW/G310 GS</t>
  </si>
  <si>
    <t>RLE2G89</t>
  </si>
  <si>
    <t>DIEGO FORTUNATO FARIAS</t>
  </si>
  <si>
    <t>102256</t>
  </si>
  <si>
    <t>18/03/2026</t>
  </si>
  <si>
    <t>RYH3F69</t>
  </si>
  <si>
    <t>RONI CARLOS DA COSTA</t>
  </si>
  <si>
    <t>102214</t>
  </si>
  <si>
    <t>17/03/2026</t>
  </si>
  <si>
    <t>VW/GOL ROCK IN RIO MB</t>
  </si>
  <si>
    <t>QHG2A98</t>
  </si>
  <si>
    <t>CLAUDIA TITON PAES RICARDO</t>
  </si>
  <si>
    <t>102210</t>
  </si>
  <si>
    <t>HONDA/BIZ 125 EX</t>
  </si>
  <si>
    <t>QHD2F89</t>
  </si>
  <si>
    <t>LINO JOSE CORNELIO</t>
  </si>
  <si>
    <t>102167</t>
  </si>
  <si>
    <t>16/03/2026</t>
  </si>
  <si>
    <t>RXX8C56</t>
  </si>
  <si>
    <t>RODRIGO SILVA DE SOUSA</t>
  </si>
  <si>
    <t>102134</t>
  </si>
  <si>
    <t>MKE8F40</t>
  </si>
  <si>
    <t>RONALDO DAMASIO JUNIOR</t>
  </si>
  <si>
    <t>102094</t>
  </si>
  <si>
    <t>13/03/2026</t>
  </si>
  <si>
    <t>YAMAHA/MT 07 ABS</t>
  </si>
  <si>
    <t>RYX4G58</t>
  </si>
  <si>
    <t>ELIETE AMERICO DE SOUZA</t>
  </si>
  <si>
    <t>102064</t>
  </si>
  <si>
    <t>12/03/2026</t>
  </si>
  <si>
    <t>HONDA/CB 500F</t>
  </si>
  <si>
    <t>QII8C90</t>
  </si>
  <si>
    <t>EVERALDO ANTONIO MARQUES</t>
  </si>
  <si>
    <t>102047</t>
  </si>
  <si>
    <t>HONDA/NC 750 X ABS</t>
  </si>
  <si>
    <t>PBF7C06</t>
  </si>
  <si>
    <t>FERNANDO SERAFIM</t>
  </si>
  <si>
    <t>102015</t>
  </si>
  <si>
    <t>11/03/2026</t>
  </si>
  <si>
    <t>HONDA/NXR160 BROS SE</t>
  </si>
  <si>
    <t>RKW6D93</t>
  </si>
  <si>
    <t>MARY HELLEN CARDOSO ALVES</t>
  </si>
  <si>
    <t>101997</t>
  </si>
  <si>
    <t>101951</t>
  </si>
  <si>
    <t>10/03/2026</t>
  </si>
  <si>
    <t>HONDA/CG 125I FAN</t>
  </si>
  <si>
    <t>QIWO125</t>
  </si>
  <si>
    <t>JOAO PEDRO CARDOSO GOMES</t>
  </si>
  <si>
    <t>101950</t>
  </si>
  <si>
    <t>TRIUMPH/TIGER 800</t>
  </si>
  <si>
    <t>LRY9F60</t>
  </si>
  <si>
    <t>DIEGO MACHADO DA SILVA</t>
  </si>
  <si>
    <t>101943</t>
  </si>
  <si>
    <t>HONDA/CG 125 FAN KS</t>
  </si>
  <si>
    <t>MJP0B81</t>
  </si>
  <si>
    <t>JOSE PAULO GASPAR PAES</t>
  </si>
  <si>
    <t>101935</t>
  </si>
  <si>
    <t>HONDA/BIZ 100 ES</t>
  </si>
  <si>
    <t>MKR2A38</t>
  </si>
  <si>
    <t>ADENISIO JOSE DE SOUZA</t>
  </si>
  <si>
    <t>101895</t>
  </si>
  <si>
    <t>09/03/2026</t>
  </si>
  <si>
    <t>MKM0542</t>
  </si>
  <si>
    <t>ELIANE SANTANA BELUCO</t>
  </si>
  <si>
    <t>101791</t>
  </si>
  <si>
    <t>05/03/2026</t>
  </si>
  <si>
    <t>HONDA/NXR150 BROS ES</t>
  </si>
  <si>
    <t>MKW5B89</t>
  </si>
  <si>
    <t>VINICIUS FERNANDES SERAFIM</t>
  </si>
  <si>
    <t>101788</t>
  </si>
  <si>
    <t>TPR4D59</t>
  </si>
  <si>
    <t>AILTON CORREA</t>
  </si>
  <si>
    <t>101785</t>
  </si>
  <si>
    <t>HONDA/CBX 250 TWISTER</t>
  </si>
  <si>
    <t>MGH2D64</t>
  </si>
  <si>
    <t>LUIS FERNANDO NASCIMENTO ALVES</t>
  </si>
  <si>
    <t>101654</t>
  </si>
  <si>
    <t>04/03/2026</t>
  </si>
  <si>
    <t>HONDA/XRE 300 ABS</t>
  </si>
  <si>
    <t>QJD1127</t>
  </si>
  <si>
    <t>CESAR MATOS RAMOS</t>
  </si>
  <si>
    <t>101645</t>
  </si>
  <si>
    <t>SANDRO ANTONIO MARCOLINO</t>
  </si>
  <si>
    <t>101609</t>
  </si>
  <si>
    <t>03/03/2026</t>
  </si>
  <si>
    <t>QZI3G34</t>
  </si>
  <si>
    <t>JULIANA MENDES MODOLON</t>
  </si>
  <si>
    <t>101605</t>
  </si>
  <si>
    <t>RLK9172</t>
  </si>
  <si>
    <t>101604</t>
  </si>
  <si>
    <t>RYT3E35</t>
  </si>
  <si>
    <t>101603</t>
  </si>
  <si>
    <t>HONDA/NXR 160 BROS ABS</t>
  </si>
  <si>
    <t>TPO5H07</t>
  </si>
  <si>
    <t>JULIO ALBINO</t>
  </si>
  <si>
    <t>101599</t>
  </si>
  <si>
    <t>SXO1J65</t>
  </si>
  <si>
    <t>ANDREIA DOS ANJOS BRAGA JOAQUIM</t>
  </si>
  <si>
    <t>ASSINATURA DIGITAL</t>
  </si>
  <si>
    <t xml:space="preserve"> COMUNICAÇÃO DE VENDA</t>
  </si>
  <si>
    <t>PLANILHA CIA DA MOTO - REF. SERVIÇOS PRESTADOS MARÇO/2026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</si>
</sst>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44336"/>
      </patternFill>
    </fill>
    <fill>
      <patternFill patternType="solid">
        <fgColor rgb="FF4CAF5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rgb="FF000000"/>
      </right>
      <top style="medium">
        <color theme="1"/>
      </top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medium">
        <color theme="1"/>
      </top>
      <bottom style="medium">
        <color theme="1"/>
      </bottom>
      <diagonal/>
    </border>
    <border>
      <left style="thin">
        <color rgb="FF000000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ck">
        <color rgb="FF000000"/>
      </right>
      <top style="medium">
        <color theme="1"/>
      </top>
      <bottom style="medium">
        <color theme="1"/>
      </bottom>
      <diagonal/>
    </border>
    <border>
      <left style="thick">
        <color rgb="FF000000"/>
      </left>
      <right style="thick">
        <color rgb="FF000000"/>
      </right>
      <top style="medium">
        <color theme="1"/>
      </top>
      <bottom style="medium">
        <color theme="1"/>
      </bottom>
      <diagonal/>
    </border>
    <border>
      <left style="thick">
        <color rgb="FF000000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medium">
        <color theme="1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theme="1"/>
      </right>
      <top/>
      <bottom style="thin">
        <color rgb="FF000000"/>
      </bottom>
      <diagonal/>
    </border>
    <border>
      <left style="medium">
        <color theme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theme="1"/>
      </right>
      <top style="thin">
        <color rgb="FF000000"/>
      </top>
      <bottom style="thin">
        <color rgb="FF000000"/>
      </bottom>
      <diagonal/>
    </border>
    <border>
      <left style="medium">
        <color theme="1"/>
      </left>
      <right style="thin">
        <color rgb="FF000000"/>
      </right>
      <top style="thin">
        <color rgb="FF000000"/>
      </top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1"/>
      </bottom>
      <diagonal/>
    </border>
    <border>
      <left style="thin">
        <color rgb="FF000000"/>
      </left>
      <right/>
      <top style="thin">
        <color rgb="FF000000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rgb="FF000000"/>
      </top>
      <bottom style="medium">
        <color theme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4" xfId="0" applyBorder="1"/>
    <xf numFmtId="49" fontId="0" fillId="0" borderId="2" xfId="0" applyNumberFormat="1" applyBorder="1" applyAlignment="1">
      <alignment horizontal="left" vertical="center"/>
    </xf>
    <xf numFmtId="164" fontId="0" fillId="0" borderId="5" xfId="0" applyNumberFormat="1" applyBorder="1" applyAlignment="1">
      <alignment horizontal="center" vertical="center"/>
    </xf>
    <xf numFmtId="164" fontId="0" fillId="0" borderId="0" xfId="0" applyNumberFormat="1"/>
    <xf numFmtId="164" fontId="2" fillId="3" borderId="6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</xf>
    <xf numFmtId="49" fontId="0" fillId="0" borderId="12" xfId="0" applyNumberFormat="1" applyBorder="1" applyAlignment="1">
      <alignment horizontal="left" vertical="center"/>
    </xf>
    <xf numFmtId="164" fontId="0" fillId="0" borderId="13" xfId="0" applyNumberFormat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/>
    </xf>
    <xf numFmtId="49" fontId="2" fillId="4" borderId="15" xfId="0" applyNumberFormat="1" applyFont="1" applyFill="1" applyBorder="1" applyAlignment="1">
      <alignment horizontal="center" vertical="center"/>
    </xf>
    <xf numFmtId="49" fontId="2" fillId="4" borderId="16" xfId="0" applyNumberFormat="1" applyFont="1" applyFill="1" applyBorder="1" applyAlignment="1">
      <alignment horizontal="center" vertical="center"/>
    </xf>
    <xf numFmtId="49" fontId="2" fillId="4" borderId="14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0" fillId="0" borderId="23" xfId="0" applyNumberFormat="1" applyBorder="1" applyAlignment="1">
      <alignment horizontal="left" vertical="center"/>
    </xf>
    <xf numFmtId="164" fontId="0" fillId="0" borderId="24" xfId="0" applyNumberFormat="1" applyBorder="1" applyAlignment="1">
      <alignment horizontal="center" vertical="center"/>
    </xf>
    <xf numFmtId="164" fontId="5" fillId="0" borderId="18" xfId="0" applyNumberFormat="1" applyFont="1" applyBorder="1" applyAlignment="1">
      <alignment horizontal="right" vertical="center"/>
    </xf>
    <xf numFmtId="164" fontId="5" fillId="0" borderId="20" xfId="0" applyNumberFormat="1" applyFont="1" applyBorder="1" applyAlignment="1">
      <alignment horizontal="right" vertical="center"/>
    </xf>
    <xf numFmtId="164" fontId="5" fillId="0" borderId="25" xfId="0" applyNumberFormat="1" applyFont="1" applyBorder="1" applyAlignment="1">
      <alignment horizontal="right" vertical="center"/>
    </xf>
    <xf numFmtId="49" fontId="0" fillId="0" borderId="17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3"/>
  <sheetViews>
    <sheetView tabSelected="1" workbookViewId="0">
      <selection activeCell="F6" sqref="F6"/>
    </sheetView>
  </sheetViews>
  <sheetFormatPr defaultRowHeight="15" x14ac:dyDescent="0.25"/>
  <cols>
    <col min="1" max="1" width="12.42578125" customWidth="1"/>
    <col min="2" max="2" width="14.28515625" customWidth="1"/>
    <col min="3" max="3" width="40.7109375" customWidth="1"/>
    <col min="4" max="4" width="31.140625" customWidth="1"/>
    <col min="5" max="5" width="11.85546875" customWidth="1"/>
    <col min="6" max="6" width="38" customWidth="1"/>
    <col min="7" max="8" width="15.28515625" customWidth="1"/>
    <col min="9" max="9" width="10.85546875" customWidth="1"/>
    <col min="10" max="10" width="19" customWidth="1"/>
    <col min="11" max="11" width="14.140625" customWidth="1"/>
  </cols>
  <sheetData>
    <row r="1" spans="1:12" s="1" customFormat="1" ht="21.95" customHeight="1" thickBot="1" x14ac:dyDescent="0.3">
      <c r="A1" s="30" t="s">
        <v>200</v>
      </c>
      <c r="B1" s="31"/>
      <c r="C1" s="31"/>
      <c r="D1" s="31"/>
      <c r="E1" s="31"/>
      <c r="F1" s="31"/>
      <c r="G1" s="31"/>
      <c r="H1" s="31"/>
      <c r="I1" s="31"/>
      <c r="J1" s="31"/>
      <c r="K1" s="32"/>
    </row>
    <row r="2" spans="1:12" ht="33.75" customHeight="1" thickBot="1" x14ac:dyDescent="0.3">
      <c r="A2" s="11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199</v>
      </c>
      <c r="H2" s="12" t="s">
        <v>198</v>
      </c>
      <c r="I2" s="12" t="s">
        <v>8</v>
      </c>
      <c r="J2" s="12" t="s">
        <v>11</v>
      </c>
      <c r="K2" s="13" t="s">
        <v>12</v>
      </c>
    </row>
    <row r="3" spans="1:12" x14ac:dyDescent="0.25">
      <c r="A3" s="24" t="s">
        <v>13</v>
      </c>
      <c r="B3" s="25" t="s">
        <v>14</v>
      </c>
      <c r="C3" s="25" t="s">
        <v>7</v>
      </c>
      <c r="D3" s="25" t="s">
        <v>15</v>
      </c>
      <c r="E3" s="25" t="s">
        <v>16</v>
      </c>
      <c r="F3" s="9" t="s">
        <v>17</v>
      </c>
      <c r="G3" s="10">
        <v>17</v>
      </c>
      <c r="H3" s="10">
        <v>9</v>
      </c>
      <c r="I3" s="10" t="s">
        <v>18</v>
      </c>
      <c r="J3" s="10">
        <v>40</v>
      </c>
      <c r="K3" s="21">
        <f t="shared" ref="K3:K34" si="0">SUM(G3:J3)</f>
        <v>66</v>
      </c>
      <c r="L3" s="5"/>
    </row>
    <row r="4" spans="1:12" x14ac:dyDescent="0.25">
      <c r="A4" s="26" t="s">
        <v>19</v>
      </c>
      <c r="B4" s="27" t="s">
        <v>20</v>
      </c>
      <c r="C4" s="27" t="s">
        <v>7</v>
      </c>
      <c r="D4" s="27" t="s">
        <v>21</v>
      </c>
      <c r="E4" s="27" t="s">
        <v>22</v>
      </c>
      <c r="F4" s="3" t="s">
        <v>23</v>
      </c>
      <c r="G4" s="4">
        <v>17</v>
      </c>
      <c r="H4" s="4">
        <v>9</v>
      </c>
      <c r="I4" s="4" t="s">
        <v>18</v>
      </c>
      <c r="J4" s="4">
        <v>40</v>
      </c>
      <c r="K4" s="22">
        <f t="shared" si="0"/>
        <v>66</v>
      </c>
    </row>
    <row r="5" spans="1:12" x14ac:dyDescent="0.25">
      <c r="A5" s="26" t="s">
        <v>24</v>
      </c>
      <c r="B5" s="27" t="s">
        <v>20</v>
      </c>
      <c r="C5" s="27" t="s">
        <v>7</v>
      </c>
      <c r="D5" s="27" t="s">
        <v>15</v>
      </c>
      <c r="E5" s="27" t="s">
        <v>25</v>
      </c>
      <c r="F5" s="3" t="s">
        <v>26</v>
      </c>
      <c r="G5" s="4">
        <v>17</v>
      </c>
      <c r="H5" s="4">
        <v>9</v>
      </c>
      <c r="I5" s="4" t="s">
        <v>18</v>
      </c>
      <c r="J5" s="4">
        <v>40</v>
      </c>
      <c r="K5" s="22">
        <f t="shared" si="0"/>
        <v>66</v>
      </c>
    </row>
    <row r="6" spans="1:12" x14ac:dyDescent="0.25">
      <c r="A6" s="26" t="s">
        <v>27</v>
      </c>
      <c r="B6" s="27" t="s">
        <v>28</v>
      </c>
      <c r="C6" s="27" t="s">
        <v>10</v>
      </c>
      <c r="D6" s="27" t="s">
        <v>29</v>
      </c>
      <c r="E6" s="27" t="s">
        <v>30</v>
      </c>
      <c r="F6" s="3" t="s">
        <v>31</v>
      </c>
      <c r="G6" s="4" t="s">
        <v>18</v>
      </c>
      <c r="H6" s="4"/>
      <c r="I6" s="4">
        <v>183.12</v>
      </c>
      <c r="J6" s="4">
        <v>69</v>
      </c>
      <c r="K6" s="22">
        <f t="shared" si="0"/>
        <v>252.12</v>
      </c>
    </row>
    <row r="7" spans="1:12" x14ac:dyDescent="0.25">
      <c r="A7" s="26" t="s">
        <v>32</v>
      </c>
      <c r="B7" s="27" t="s">
        <v>28</v>
      </c>
      <c r="C7" s="27" t="s">
        <v>10</v>
      </c>
      <c r="D7" s="27" t="s">
        <v>33</v>
      </c>
      <c r="E7" s="27" t="s">
        <v>34</v>
      </c>
      <c r="F7" s="3" t="s">
        <v>31</v>
      </c>
      <c r="G7" s="4" t="s">
        <v>18</v>
      </c>
      <c r="H7" s="4"/>
      <c r="I7" s="4">
        <v>183.12</v>
      </c>
      <c r="J7" s="4">
        <v>69</v>
      </c>
      <c r="K7" s="22">
        <f t="shared" si="0"/>
        <v>252.12</v>
      </c>
    </row>
    <row r="8" spans="1:12" x14ac:dyDescent="0.25">
      <c r="A8" s="26" t="s">
        <v>35</v>
      </c>
      <c r="B8" s="27" t="s">
        <v>36</v>
      </c>
      <c r="C8" s="27" t="s">
        <v>7</v>
      </c>
      <c r="D8" s="27" t="s">
        <v>37</v>
      </c>
      <c r="E8" s="27" t="s">
        <v>38</v>
      </c>
      <c r="F8" s="3" t="s">
        <v>39</v>
      </c>
      <c r="G8" s="4">
        <v>17</v>
      </c>
      <c r="H8" s="4">
        <v>9</v>
      </c>
      <c r="I8" s="4" t="s">
        <v>18</v>
      </c>
      <c r="J8" s="4">
        <v>40</v>
      </c>
      <c r="K8" s="22">
        <f t="shared" si="0"/>
        <v>66</v>
      </c>
    </row>
    <row r="9" spans="1:12" x14ac:dyDescent="0.25">
      <c r="A9" s="26" t="s">
        <v>40</v>
      </c>
      <c r="B9" s="27" t="s">
        <v>36</v>
      </c>
      <c r="C9" s="27" t="s">
        <v>7</v>
      </c>
      <c r="D9" s="27" t="s">
        <v>41</v>
      </c>
      <c r="E9" s="27" t="s">
        <v>42</v>
      </c>
      <c r="F9" s="3" t="s">
        <v>43</v>
      </c>
      <c r="G9" s="4">
        <v>17</v>
      </c>
      <c r="H9" s="4">
        <v>9</v>
      </c>
      <c r="I9" s="4" t="s">
        <v>18</v>
      </c>
      <c r="J9" s="4">
        <v>40</v>
      </c>
      <c r="K9" s="22">
        <f t="shared" si="0"/>
        <v>66</v>
      </c>
    </row>
    <row r="10" spans="1:12" x14ac:dyDescent="0.25">
      <c r="A10" s="26" t="s">
        <v>44</v>
      </c>
      <c r="B10" s="27" t="s">
        <v>36</v>
      </c>
      <c r="C10" s="27" t="s">
        <v>7</v>
      </c>
      <c r="D10" s="27" t="s">
        <v>45</v>
      </c>
      <c r="E10" s="27" t="s">
        <v>46</v>
      </c>
      <c r="F10" s="3" t="s">
        <v>47</v>
      </c>
      <c r="G10" s="4">
        <v>17</v>
      </c>
      <c r="H10" s="4">
        <v>9</v>
      </c>
      <c r="I10" s="4" t="s">
        <v>18</v>
      </c>
      <c r="J10" s="4">
        <v>40</v>
      </c>
      <c r="K10" s="22">
        <f t="shared" si="0"/>
        <v>66</v>
      </c>
    </row>
    <row r="11" spans="1:12" x14ac:dyDescent="0.25">
      <c r="A11" s="26" t="s">
        <v>48</v>
      </c>
      <c r="B11" s="27" t="s">
        <v>49</v>
      </c>
      <c r="C11" s="27" t="s">
        <v>7</v>
      </c>
      <c r="D11" s="27" t="s">
        <v>50</v>
      </c>
      <c r="E11" s="27" t="s">
        <v>51</v>
      </c>
      <c r="F11" s="3" t="s">
        <v>52</v>
      </c>
      <c r="G11" s="4">
        <v>17</v>
      </c>
      <c r="H11" s="4">
        <v>9</v>
      </c>
      <c r="I11" s="4" t="s">
        <v>18</v>
      </c>
      <c r="J11" s="4">
        <v>40</v>
      </c>
      <c r="K11" s="22">
        <f t="shared" si="0"/>
        <v>66</v>
      </c>
    </row>
    <row r="12" spans="1:12" x14ac:dyDescent="0.25">
      <c r="A12" s="26" t="s">
        <v>53</v>
      </c>
      <c r="B12" s="27" t="s">
        <v>49</v>
      </c>
      <c r="C12" s="27" t="s">
        <v>7</v>
      </c>
      <c r="D12" s="27" t="s">
        <v>21</v>
      </c>
      <c r="E12" s="27" t="s">
        <v>54</v>
      </c>
      <c r="F12" s="3" t="s">
        <v>55</v>
      </c>
      <c r="G12" s="4">
        <v>17</v>
      </c>
      <c r="H12" s="4">
        <v>9</v>
      </c>
      <c r="I12" s="4" t="s">
        <v>18</v>
      </c>
      <c r="J12" s="4">
        <v>40</v>
      </c>
      <c r="K12" s="22">
        <f t="shared" si="0"/>
        <v>66</v>
      </c>
    </row>
    <row r="13" spans="1:12" x14ac:dyDescent="0.25">
      <c r="A13" s="26" t="s">
        <v>56</v>
      </c>
      <c r="B13" s="27" t="s">
        <v>49</v>
      </c>
      <c r="C13" s="27" t="s">
        <v>7</v>
      </c>
      <c r="D13" s="27" t="s">
        <v>57</v>
      </c>
      <c r="E13" s="27" t="s">
        <v>58</v>
      </c>
      <c r="F13" s="3" t="s">
        <v>59</v>
      </c>
      <c r="G13" s="4">
        <v>17</v>
      </c>
      <c r="H13" s="4">
        <v>9</v>
      </c>
      <c r="I13" s="4" t="s">
        <v>18</v>
      </c>
      <c r="J13" s="4">
        <v>40</v>
      </c>
      <c r="K13" s="22">
        <f t="shared" si="0"/>
        <v>66</v>
      </c>
    </row>
    <row r="14" spans="1:12" x14ac:dyDescent="0.25">
      <c r="A14" s="26" t="s">
        <v>60</v>
      </c>
      <c r="B14" s="27" t="s">
        <v>61</v>
      </c>
      <c r="C14" s="27" t="s">
        <v>7</v>
      </c>
      <c r="D14" s="27" t="s">
        <v>62</v>
      </c>
      <c r="E14" s="27" t="s">
        <v>63</v>
      </c>
      <c r="F14" s="3" t="s">
        <v>64</v>
      </c>
      <c r="G14" s="4">
        <v>17</v>
      </c>
      <c r="H14" s="4">
        <v>9</v>
      </c>
      <c r="I14" s="4" t="s">
        <v>18</v>
      </c>
      <c r="J14" s="4">
        <v>40</v>
      </c>
      <c r="K14" s="22">
        <f t="shared" si="0"/>
        <v>66</v>
      </c>
    </row>
    <row r="15" spans="1:12" x14ac:dyDescent="0.25">
      <c r="A15" s="26" t="s">
        <v>65</v>
      </c>
      <c r="B15" s="27" t="s">
        <v>61</v>
      </c>
      <c r="C15" s="27" t="s">
        <v>9</v>
      </c>
      <c r="D15" s="27" t="s">
        <v>66</v>
      </c>
      <c r="E15" s="27" t="s">
        <v>67</v>
      </c>
      <c r="F15" s="3" t="s">
        <v>68</v>
      </c>
      <c r="G15" s="4"/>
      <c r="H15" s="4"/>
      <c r="I15" s="4">
        <v>183.12</v>
      </c>
      <c r="J15" s="4">
        <v>69</v>
      </c>
      <c r="K15" s="22">
        <f t="shared" si="0"/>
        <v>252.12</v>
      </c>
    </row>
    <row r="16" spans="1:12" x14ac:dyDescent="0.25">
      <c r="A16" s="26" t="s">
        <v>69</v>
      </c>
      <c r="B16" s="27" t="s">
        <v>61</v>
      </c>
      <c r="C16" s="27" t="s">
        <v>7</v>
      </c>
      <c r="D16" s="27" t="s">
        <v>70</v>
      </c>
      <c r="E16" s="27" t="s">
        <v>71</v>
      </c>
      <c r="F16" s="3" t="s">
        <v>72</v>
      </c>
      <c r="G16" s="4">
        <v>17</v>
      </c>
      <c r="H16" s="4">
        <v>9</v>
      </c>
      <c r="I16" s="4" t="s">
        <v>18</v>
      </c>
      <c r="J16" s="4">
        <v>40</v>
      </c>
      <c r="K16" s="22">
        <f t="shared" si="0"/>
        <v>66</v>
      </c>
    </row>
    <row r="17" spans="1:11" x14ac:dyDescent="0.25">
      <c r="A17" s="26" t="s">
        <v>73</v>
      </c>
      <c r="B17" s="27" t="s">
        <v>61</v>
      </c>
      <c r="C17" s="27" t="s">
        <v>7</v>
      </c>
      <c r="D17" s="27" t="s">
        <v>74</v>
      </c>
      <c r="E17" s="27" t="s">
        <v>75</v>
      </c>
      <c r="F17" s="3" t="s">
        <v>76</v>
      </c>
      <c r="G17" s="4">
        <v>17</v>
      </c>
      <c r="H17" s="4">
        <v>9</v>
      </c>
      <c r="I17" s="4" t="s">
        <v>18</v>
      </c>
      <c r="J17" s="4">
        <v>40</v>
      </c>
      <c r="K17" s="22">
        <f t="shared" si="0"/>
        <v>66</v>
      </c>
    </row>
    <row r="18" spans="1:11" x14ac:dyDescent="0.25">
      <c r="A18" s="26" t="s">
        <v>77</v>
      </c>
      <c r="B18" s="27" t="s">
        <v>61</v>
      </c>
      <c r="C18" s="27" t="s">
        <v>7</v>
      </c>
      <c r="D18" s="27" t="s">
        <v>15</v>
      </c>
      <c r="E18" s="27" t="s">
        <v>78</v>
      </c>
      <c r="F18" s="3" t="s">
        <v>79</v>
      </c>
      <c r="G18" s="4">
        <v>17</v>
      </c>
      <c r="H18" s="4">
        <v>9</v>
      </c>
      <c r="I18" s="4" t="s">
        <v>18</v>
      </c>
      <c r="J18" s="4">
        <v>40</v>
      </c>
      <c r="K18" s="22">
        <f t="shared" si="0"/>
        <v>66</v>
      </c>
    </row>
    <row r="19" spans="1:11" x14ac:dyDescent="0.25">
      <c r="A19" s="26" t="s">
        <v>80</v>
      </c>
      <c r="B19" s="27" t="s">
        <v>81</v>
      </c>
      <c r="C19" s="27" t="s">
        <v>6</v>
      </c>
      <c r="D19" s="27" t="s">
        <v>62</v>
      </c>
      <c r="E19" s="27" t="s">
        <v>82</v>
      </c>
      <c r="F19" s="3" t="s">
        <v>83</v>
      </c>
      <c r="G19" s="4"/>
      <c r="H19" s="4"/>
      <c r="I19" s="4" t="s">
        <v>18</v>
      </c>
      <c r="J19" s="4">
        <v>40</v>
      </c>
      <c r="K19" s="22">
        <f t="shared" si="0"/>
        <v>40</v>
      </c>
    </row>
    <row r="20" spans="1:11" x14ac:dyDescent="0.25">
      <c r="A20" s="26" t="s">
        <v>84</v>
      </c>
      <c r="B20" s="27" t="s">
        <v>85</v>
      </c>
      <c r="C20" s="27" t="s">
        <v>7</v>
      </c>
      <c r="D20" s="27" t="s">
        <v>86</v>
      </c>
      <c r="E20" s="27" t="s">
        <v>87</v>
      </c>
      <c r="F20" s="3" t="s">
        <v>88</v>
      </c>
      <c r="G20" s="4">
        <v>17</v>
      </c>
      <c r="H20" s="4">
        <v>9</v>
      </c>
      <c r="I20" s="4" t="s">
        <v>18</v>
      </c>
      <c r="J20" s="4">
        <v>40</v>
      </c>
      <c r="K20" s="22">
        <f t="shared" si="0"/>
        <v>66</v>
      </c>
    </row>
    <row r="21" spans="1:11" x14ac:dyDescent="0.25">
      <c r="A21" s="26" t="s">
        <v>89</v>
      </c>
      <c r="B21" s="27" t="s">
        <v>85</v>
      </c>
      <c r="C21" s="27" t="s">
        <v>7</v>
      </c>
      <c r="D21" s="27" t="s">
        <v>90</v>
      </c>
      <c r="E21" s="27" t="s">
        <v>91</v>
      </c>
      <c r="F21" s="3" t="s">
        <v>92</v>
      </c>
      <c r="G21" s="4">
        <v>17</v>
      </c>
      <c r="H21" s="4">
        <v>9</v>
      </c>
      <c r="I21" s="4" t="s">
        <v>18</v>
      </c>
      <c r="J21" s="4">
        <v>40</v>
      </c>
      <c r="K21" s="22">
        <f t="shared" si="0"/>
        <v>66</v>
      </c>
    </row>
    <row r="22" spans="1:11" x14ac:dyDescent="0.25">
      <c r="A22" s="26" t="s">
        <v>93</v>
      </c>
      <c r="B22" s="27" t="s">
        <v>85</v>
      </c>
      <c r="C22" s="27" t="s">
        <v>9</v>
      </c>
      <c r="D22" s="27" t="s">
        <v>21</v>
      </c>
      <c r="E22" s="27" t="s">
        <v>94</v>
      </c>
      <c r="F22" s="3" t="s">
        <v>31</v>
      </c>
      <c r="G22" s="4" t="s">
        <v>18</v>
      </c>
      <c r="H22" s="4"/>
      <c r="I22" s="4">
        <v>183.12</v>
      </c>
      <c r="J22" s="4">
        <v>69</v>
      </c>
      <c r="K22" s="22">
        <f t="shared" si="0"/>
        <v>252.12</v>
      </c>
    </row>
    <row r="23" spans="1:11" x14ac:dyDescent="0.25">
      <c r="A23" s="26" t="s">
        <v>95</v>
      </c>
      <c r="B23" s="27" t="s">
        <v>85</v>
      </c>
      <c r="C23" s="27" t="s">
        <v>9</v>
      </c>
      <c r="D23" s="27" t="s">
        <v>86</v>
      </c>
      <c r="E23" s="27" t="s">
        <v>87</v>
      </c>
      <c r="F23" s="3" t="s">
        <v>31</v>
      </c>
      <c r="G23" s="4" t="s">
        <v>18</v>
      </c>
      <c r="H23" s="4"/>
      <c r="I23" s="4">
        <v>183.12</v>
      </c>
      <c r="J23" s="4">
        <v>69</v>
      </c>
      <c r="K23" s="22">
        <f t="shared" si="0"/>
        <v>252.12</v>
      </c>
    </row>
    <row r="24" spans="1:11" x14ac:dyDescent="0.25">
      <c r="A24" s="26" t="s">
        <v>96</v>
      </c>
      <c r="B24" s="27" t="s">
        <v>85</v>
      </c>
      <c r="C24" s="27" t="s">
        <v>9</v>
      </c>
      <c r="D24" s="27" t="s">
        <v>15</v>
      </c>
      <c r="E24" s="27" t="s">
        <v>16</v>
      </c>
      <c r="F24" s="3" t="s">
        <v>31</v>
      </c>
      <c r="G24" s="4" t="s">
        <v>18</v>
      </c>
      <c r="H24" s="4"/>
      <c r="I24" s="4">
        <v>183.12</v>
      </c>
      <c r="J24" s="4">
        <v>69</v>
      </c>
      <c r="K24" s="22">
        <f t="shared" si="0"/>
        <v>252.12</v>
      </c>
    </row>
    <row r="25" spans="1:11" x14ac:dyDescent="0.25">
      <c r="A25" s="26" t="s">
        <v>97</v>
      </c>
      <c r="B25" s="27" t="s">
        <v>85</v>
      </c>
      <c r="C25" s="27" t="s">
        <v>9</v>
      </c>
      <c r="D25" s="27" t="s">
        <v>15</v>
      </c>
      <c r="E25" s="27" t="s">
        <v>78</v>
      </c>
      <c r="F25" s="3" t="s">
        <v>31</v>
      </c>
      <c r="G25" s="4" t="s">
        <v>18</v>
      </c>
      <c r="H25" s="4"/>
      <c r="I25" s="4">
        <v>183.12</v>
      </c>
      <c r="J25" s="4">
        <v>69</v>
      </c>
      <c r="K25" s="22">
        <f t="shared" si="0"/>
        <v>252.12</v>
      </c>
    </row>
    <row r="26" spans="1:11" x14ac:dyDescent="0.25">
      <c r="A26" s="26" t="s">
        <v>98</v>
      </c>
      <c r="B26" s="27" t="s">
        <v>85</v>
      </c>
      <c r="C26" s="27" t="s">
        <v>99</v>
      </c>
      <c r="D26" s="27" t="s">
        <v>100</v>
      </c>
      <c r="E26" s="27" t="s">
        <v>101</v>
      </c>
      <c r="F26" s="3" t="s">
        <v>102</v>
      </c>
      <c r="G26" s="4" t="s">
        <v>18</v>
      </c>
      <c r="H26" s="4"/>
      <c r="I26" s="4" t="s">
        <v>18</v>
      </c>
      <c r="J26" s="4">
        <v>30</v>
      </c>
      <c r="K26" s="22">
        <f t="shared" si="0"/>
        <v>30</v>
      </c>
    </row>
    <row r="27" spans="1:11" x14ac:dyDescent="0.25">
      <c r="A27" s="26" t="s">
        <v>103</v>
      </c>
      <c r="B27" s="27" t="s">
        <v>104</v>
      </c>
      <c r="C27" s="27" t="s">
        <v>7</v>
      </c>
      <c r="D27" s="27" t="s">
        <v>50</v>
      </c>
      <c r="E27" s="27" t="s">
        <v>105</v>
      </c>
      <c r="F27" s="3" t="s">
        <v>106</v>
      </c>
      <c r="G27" s="4">
        <v>17</v>
      </c>
      <c r="H27" s="4">
        <v>9</v>
      </c>
      <c r="I27" s="4" t="s">
        <v>18</v>
      </c>
      <c r="J27" s="4">
        <v>40</v>
      </c>
      <c r="K27" s="22">
        <f t="shared" si="0"/>
        <v>66</v>
      </c>
    </row>
    <row r="28" spans="1:11" x14ac:dyDescent="0.25">
      <c r="A28" s="26" t="s">
        <v>107</v>
      </c>
      <c r="B28" s="27" t="s">
        <v>108</v>
      </c>
      <c r="C28" s="27" t="s">
        <v>7</v>
      </c>
      <c r="D28" s="27" t="s">
        <v>109</v>
      </c>
      <c r="E28" s="27" t="s">
        <v>110</v>
      </c>
      <c r="F28" s="3" t="s">
        <v>111</v>
      </c>
      <c r="G28" s="4">
        <v>17</v>
      </c>
      <c r="H28" s="4">
        <v>9</v>
      </c>
      <c r="I28" s="4" t="s">
        <v>18</v>
      </c>
      <c r="J28" s="4">
        <v>40</v>
      </c>
      <c r="K28" s="22">
        <f t="shared" si="0"/>
        <v>66</v>
      </c>
    </row>
    <row r="29" spans="1:11" x14ac:dyDescent="0.25">
      <c r="A29" s="26" t="s">
        <v>112</v>
      </c>
      <c r="B29" s="27" t="s">
        <v>108</v>
      </c>
      <c r="C29" s="27" t="s">
        <v>7</v>
      </c>
      <c r="D29" s="27" t="s">
        <v>113</v>
      </c>
      <c r="E29" s="27" t="s">
        <v>114</v>
      </c>
      <c r="F29" s="3" t="s">
        <v>115</v>
      </c>
      <c r="G29" s="4">
        <v>17</v>
      </c>
      <c r="H29" s="4">
        <v>9</v>
      </c>
      <c r="I29" s="4" t="s">
        <v>18</v>
      </c>
      <c r="J29" s="4">
        <v>40</v>
      </c>
      <c r="K29" s="22">
        <f t="shared" si="0"/>
        <v>66</v>
      </c>
    </row>
    <row r="30" spans="1:11" x14ac:dyDescent="0.25">
      <c r="A30" s="26" t="s">
        <v>116</v>
      </c>
      <c r="B30" s="27" t="s">
        <v>117</v>
      </c>
      <c r="C30" s="27" t="s">
        <v>6</v>
      </c>
      <c r="D30" s="27" t="s">
        <v>100</v>
      </c>
      <c r="E30" s="27" t="s">
        <v>118</v>
      </c>
      <c r="F30" s="3" t="s">
        <v>119</v>
      </c>
      <c r="G30" s="4" t="s">
        <v>18</v>
      </c>
      <c r="H30" s="4"/>
      <c r="I30" s="4" t="s">
        <v>18</v>
      </c>
      <c r="J30" s="4">
        <v>40</v>
      </c>
      <c r="K30" s="22">
        <f t="shared" si="0"/>
        <v>40</v>
      </c>
    </row>
    <row r="31" spans="1:11" x14ac:dyDescent="0.25">
      <c r="A31" s="26" t="s">
        <v>120</v>
      </c>
      <c r="B31" s="27" t="s">
        <v>117</v>
      </c>
      <c r="C31" s="27" t="s">
        <v>7</v>
      </c>
      <c r="D31" s="27" t="s">
        <v>113</v>
      </c>
      <c r="E31" s="27" t="s">
        <v>121</v>
      </c>
      <c r="F31" s="3" t="s">
        <v>122</v>
      </c>
      <c r="G31" s="4">
        <v>17</v>
      </c>
      <c r="H31" s="4">
        <v>9</v>
      </c>
      <c r="I31" s="4" t="s">
        <v>18</v>
      </c>
      <c r="J31" s="4">
        <v>40</v>
      </c>
      <c r="K31" s="22">
        <f t="shared" si="0"/>
        <v>66</v>
      </c>
    </row>
    <row r="32" spans="1:11" x14ac:dyDescent="0.25">
      <c r="A32" s="26" t="s">
        <v>123</v>
      </c>
      <c r="B32" s="27" t="s">
        <v>124</v>
      </c>
      <c r="C32" s="27" t="s">
        <v>6</v>
      </c>
      <c r="D32" s="27" t="s">
        <v>125</v>
      </c>
      <c r="E32" s="27" t="s">
        <v>126</v>
      </c>
      <c r="F32" s="3" t="s">
        <v>127</v>
      </c>
      <c r="G32" s="4" t="s">
        <v>18</v>
      </c>
      <c r="H32" s="4"/>
      <c r="I32" s="4" t="s">
        <v>18</v>
      </c>
      <c r="J32" s="4">
        <v>40</v>
      </c>
      <c r="K32" s="22">
        <f t="shared" si="0"/>
        <v>40</v>
      </c>
    </row>
    <row r="33" spans="1:11" x14ac:dyDescent="0.25">
      <c r="A33" s="26" t="s">
        <v>128</v>
      </c>
      <c r="B33" s="27" t="s">
        <v>129</v>
      </c>
      <c r="C33" s="27" t="s">
        <v>7</v>
      </c>
      <c r="D33" s="27" t="s">
        <v>130</v>
      </c>
      <c r="E33" s="27" t="s">
        <v>131</v>
      </c>
      <c r="F33" s="3" t="s">
        <v>132</v>
      </c>
      <c r="G33" s="4">
        <v>17</v>
      </c>
      <c r="H33" s="4">
        <v>9</v>
      </c>
      <c r="I33" s="4" t="s">
        <v>18</v>
      </c>
      <c r="J33" s="4">
        <v>40</v>
      </c>
      <c r="K33" s="22">
        <f t="shared" si="0"/>
        <v>66</v>
      </c>
    </row>
    <row r="34" spans="1:11" x14ac:dyDescent="0.25">
      <c r="A34" s="26" t="s">
        <v>133</v>
      </c>
      <c r="B34" s="27" t="s">
        <v>129</v>
      </c>
      <c r="C34" s="27" t="s">
        <v>7</v>
      </c>
      <c r="D34" s="27" t="s">
        <v>134</v>
      </c>
      <c r="E34" s="27" t="s">
        <v>135</v>
      </c>
      <c r="F34" s="3" t="s">
        <v>136</v>
      </c>
      <c r="G34" s="4">
        <v>17</v>
      </c>
      <c r="H34" s="4">
        <v>9</v>
      </c>
      <c r="I34" s="4" t="s">
        <v>18</v>
      </c>
      <c r="J34" s="4">
        <v>40</v>
      </c>
      <c r="K34" s="22">
        <f t="shared" si="0"/>
        <v>66</v>
      </c>
    </row>
    <row r="35" spans="1:11" x14ac:dyDescent="0.25">
      <c r="A35" s="26" t="s">
        <v>137</v>
      </c>
      <c r="B35" s="27" t="s">
        <v>138</v>
      </c>
      <c r="C35" s="27" t="s">
        <v>7</v>
      </c>
      <c r="D35" s="27" t="s">
        <v>139</v>
      </c>
      <c r="E35" s="27" t="s">
        <v>140</v>
      </c>
      <c r="F35" s="3" t="s">
        <v>141</v>
      </c>
      <c r="G35" s="4">
        <v>17</v>
      </c>
      <c r="H35" s="4">
        <v>9</v>
      </c>
      <c r="I35" s="4" t="s">
        <v>18</v>
      </c>
      <c r="J35" s="4">
        <v>40</v>
      </c>
      <c r="K35" s="22">
        <f t="shared" ref="K35:K66" si="1">SUM(G35:J35)</f>
        <v>66</v>
      </c>
    </row>
    <row r="36" spans="1:11" x14ac:dyDescent="0.25">
      <c r="A36" s="26" t="s">
        <v>142</v>
      </c>
      <c r="B36" s="27" t="s">
        <v>138</v>
      </c>
      <c r="C36" s="27" t="s">
        <v>10</v>
      </c>
      <c r="D36" s="27" t="s">
        <v>90</v>
      </c>
      <c r="E36" s="27" t="s">
        <v>91</v>
      </c>
      <c r="F36" s="3" t="s">
        <v>31</v>
      </c>
      <c r="G36" s="4" t="s">
        <v>18</v>
      </c>
      <c r="H36" s="4"/>
      <c r="I36" s="4">
        <v>183.12</v>
      </c>
      <c r="J36" s="4">
        <v>69</v>
      </c>
      <c r="K36" s="22">
        <f t="shared" si="1"/>
        <v>252.12</v>
      </c>
    </row>
    <row r="37" spans="1:11" x14ac:dyDescent="0.25">
      <c r="A37" s="26" t="s">
        <v>143</v>
      </c>
      <c r="B37" s="27" t="s">
        <v>144</v>
      </c>
      <c r="C37" s="27" t="s">
        <v>7</v>
      </c>
      <c r="D37" s="27" t="s">
        <v>145</v>
      </c>
      <c r="E37" s="27" t="s">
        <v>146</v>
      </c>
      <c r="F37" s="3" t="s">
        <v>147</v>
      </c>
      <c r="G37" s="4">
        <v>17</v>
      </c>
      <c r="H37" s="4">
        <v>9</v>
      </c>
      <c r="I37" s="4" t="s">
        <v>18</v>
      </c>
      <c r="J37" s="4">
        <v>40</v>
      </c>
      <c r="K37" s="22">
        <f t="shared" si="1"/>
        <v>66</v>
      </c>
    </row>
    <row r="38" spans="1:11" x14ac:dyDescent="0.25">
      <c r="A38" s="26" t="s">
        <v>148</v>
      </c>
      <c r="B38" s="27" t="s">
        <v>144</v>
      </c>
      <c r="C38" s="27" t="s">
        <v>7</v>
      </c>
      <c r="D38" s="27" t="s">
        <v>149</v>
      </c>
      <c r="E38" s="27" t="s">
        <v>150</v>
      </c>
      <c r="F38" s="3" t="s">
        <v>151</v>
      </c>
      <c r="G38" s="4">
        <v>17</v>
      </c>
      <c r="H38" s="4">
        <v>9</v>
      </c>
      <c r="I38" s="4" t="s">
        <v>18</v>
      </c>
      <c r="J38" s="4">
        <v>40</v>
      </c>
      <c r="K38" s="22">
        <f t="shared" si="1"/>
        <v>66</v>
      </c>
    </row>
    <row r="39" spans="1:11" x14ac:dyDescent="0.25">
      <c r="A39" s="26" t="s">
        <v>152</v>
      </c>
      <c r="B39" s="27" t="s">
        <v>144</v>
      </c>
      <c r="C39" s="27" t="s">
        <v>7</v>
      </c>
      <c r="D39" s="27" t="s">
        <v>153</v>
      </c>
      <c r="E39" s="27" t="s">
        <v>154</v>
      </c>
      <c r="F39" s="3" t="s">
        <v>155</v>
      </c>
      <c r="G39" s="4">
        <v>17</v>
      </c>
      <c r="H39" s="4">
        <v>9</v>
      </c>
      <c r="I39" s="4" t="s">
        <v>18</v>
      </c>
      <c r="J39" s="4">
        <v>40</v>
      </c>
      <c r="K39" s="22">
        <f t="shared" si="1"/>
        <v>66</v>
      </c>
    </row>
    <row r="40" spans="1:11" x14ac:dyDescent="0.25">
      <c r="A40" s="26" t="s">
        <v>156</v>
      </c>
      <c r="B40" s="27" t="s">
        <v>144</v>
      </c>
      <c r="C40" s="27" t="s">
        <v>7</v>
      </c>
      <c r="D40" s="27" t="s">
        <v>157</v>
      </c>
      <c r="E40" s="27" t="s">
        <v>158</v>
      </c>
      <c r="F40" s="3" t="s">
        <v>159</v>
      </c>
      <c r="G40" s="4">
        <v>17</v>
      </c>
      <c r="H40" s="4">
        <v>9</v>
      </c>
      <c r="I40" s="4" t="s">
        <v>18</v>
      </c>
      <c r="J40" s="4">
        <v>40</v>
      </c>
      <c r="K40" s="22">
        <f t="shared" si="1"/>
        <v>66</v>
      </c>
    </row>
    <row r="41" spans="1:11" x14ac:dyDescent="0.25">
      <c r="A41" s="26" t="s">
        <v>160</v>
      </c>
      <c r="B41" s="27" t="s">
        <v>161</v>
      </c>
      <c r="C41" s="27" t="s">
        <v>99</v>
      </c>
      <c r="D41" s="27" t="s">
        <v>45</v>
      </c>
      <c r="E41" s="27" t="s">
        <v>162</v>
      </c>
      <c r="F41" s="3" t="s">
        <v>163</v>
      </c>
      <c r="G41" s="4" t="s">
        <v>18</v>
      </c>
      <c r="H41" s="4"/>
      <c r="I41" s="4" t="s">
        <v>18</v>
      </c>
      <c r="J41" s="4">
        <v>30</v>
      </c>
      <c r="K41" s="22">
        <f t="shared" si="1"/>
        <v>30</v>
      </c>
    </row>
    <row r="42" spans="1:11" x14ac:dyDescent="0.25">
      <c r="A42" s="26" t="s">
        <v>164</v>
      </c>
      <c r="B42" s="27" t="s">
        <v>165</v>
      </c>
      <c r="C42" s="27" t="s">
        <v>7</v>
      </c>
      <c r="D42" s="27" t="s">
        <v>166</v>
      </c>
      <c r="E42" s="27" t="s">
        <v>167</v>
      </c>
      <c r="F42" s="3" t="s">
        <v>168</v>
      </c>
      <c r="G42" s="4">
        <v>17</v>
      </c>
      <c r="H42" s="4">
        <v>9</v>
      </c>
      <c r="I42" s="4" t="s">
        <v>18</v>
      </c>
      <c r="J42" s="4">
        <v>40</v>
      </c>
      <c r="K42" s="22">
        <f t="shared" si="1"/>
        <v>66</v>
      </c>
    </row>
    <row r="43" spans="1:11" x14ac:dyDescent="0.25">
      <c r="A43" s="26" t="s">
        <v>169</v>
      </c>
      <c r="B43" s="27" t="s">
        <v>165</v>
      </c>
      <c r="C43" s="27" t="s">
        <v>7</v>
      </c>
      <c r="D43" s="27" t="s">
        <v>66</v>
      </c>
      <c r="E43" s="27" t="s">
        <v>170</v>
      </c>
      <c r="F43" s="3" t="s">
        <v>171</v>
      </c>
      <c r="G43" s="4">
        <v>17</v>
      </c>
      <c r="H43" s="4">
        <v>9</v>
      </c>
      <c r="I43" s="4" t="s">
        <v>18</v>
      </c>
      <c r="J43" s="4">
        <v>40</v>
      </c>
      <c r="K43" s="22">
        <f t="shared" si="1"/>
        <v>66</v>
      </c>
    </row>
    <row r="44" spans="1:11" x14ac:dyDescent="0.25">
      <c r="A44" s="26" t="s">
        <v>172</v>
      </c>
      <c r="B44" s="27" t="s">
        <v>165</v>
      </c>
      <c r="C44" s="27" t="s">
        <v>7</v>
      </c>
      <c r="D44" s="27" t="s">
        <v>173</v>
      </c>
      <c r="E44" s="27" t="s">
        <v>174</v>
      </c>
      <c r="F44" s="3" t="s">
        <v>175</v>
      </c>
      <c r="G44" s="4">
        <v>17</v>
      </c>
      <c r="H44" s="4">
        <v>9</v>
      </c>
      <c r="I44" s="4" t="s">
        <v>18</v>
      </c>
      <c r="J44" s="4">
        <v>40</v>
      </c>
      <c r="K44" s="22">
        <f t="shared" si="1"/>
        <v>66</v>
      </c>
    </row>
    <row r="45" spans="1:11" x14ac:dyDescent="0.25">
      <c r="A45" s="26" t="s">
        <v>176</v>
      </c>
      <c r="B45" s="27" t="s">
        <v>177</v>
      </c>
      <c r="C45" s="27" t="s">
        <v>7</v>
      </c>
      <c r="D45" s="27" t="s">
        <v>178</v>
      </c>
      <c r="E45" s="27" t="s">
        <v>179</v>
      </c>
      <c r="F45" s="3" t="s">
        <v>180</v>
      </c>
      <c r="G45" s="4">
        <v>17</v>
      </c>
      <c r="H45" s="4">
        <v>9</v>
      </c>
      <c r="I45" s="4" t="s">
        <v>18</v>
      </c>
      <c r="J45" s="4">
        <v>40</v>
      </c>
      <c r="K45" s="22">
        <f t="shared" si="1"/>
        <v>66</v>
      </c>
    </row>
    <row r="46" spans="1:11" x14ac:dyDescent="0.25">
      <c r="A46" s="26" t="s">
        <v>181</v>
      </c>
      <c r="B46" s="27" t="s">
        <v>177</v>
      </c>
      <c r="C46" s="27" t="s">
        <v>10</v>
      </c>
      <c r="D46" s="27" t="s">
        <v>29</v>
      </c>
      <c r="E46" s="27" t="s">
        <v>18</v>
      </c>
      <c r="F46" s="3" t="s">
        <v>182</v>
      </c>
      <c r="G46" s="4" t="s">
        <v>18</v>
      </c>
      <c r="H46" s="4"/>
      <c r="I46" s="4">
        <v>183.12</v>
      </c>
      <c r="J46" s="4">
        <v>69</v>
      </c>
      <c r="K46" s="22">
        <f t="shared" si="1"/>
        <v>252.12</v>
      </c>
    </row>
    <row r="47" spans="1:11" x14ac:dyDescent="0.25">
      <c r="A47" s="26" t="s">
        <v>183</v>
      </c>
      <c r="B47" s="27" t="s">
        <v>184</v>
      </c>
      <c r="C47" s="27" t="s">
        <v>9</v>
      </c>
      <c r="D47" s="27" t="s">
        <v>21</v>
      </c>
      <c r="E47" s="27" t="s">
        <v>185</v>
      </c>
      <c r="F47" s="3" t="s">
        <v>186</v>
      </c>
      <c r="G47" s="4" t="s">
        <v>18</v>
      </c>
      <c r="H47" s="4"/>
      <c r="I47" s="4">
        <v>183.12</v>
      </c>
      <c r="J47" s="4">
        <v>69</v>
      </c>
      <c r="K47" s="22">
        <f t="shared" si="1"/>
        <v>252.12</v>
      </c>
    </row>
    <row r="48" spans="1:11" x14ac:dyDescent="0.25">
      <c r="A48" s="26" t="s">
        <v>187</v>
      </c>
      <c r="B48" s="27" t="s">
        <v>184</v>
      </c>
      <c r="C48" s="27" t="s">
        <v>9</v>
      </c>
      <c r="D48" s="27" t="s">
        <v>21</v>
      </c>
      <c r="E48" s="27" t="s">
        <v>188</v>
      </c>
      <c r="F48" s="3" t="s">
        <v>186</v>
      </c>
      <c r="G48" s="4" t="s">
        <v>18</v>
      </c>
      <c r="H48" s="4"/>
      <c r="I48" s="4">
        <v>183.12</v>
      </c>
      <c r="J48" s="4">
        <v>69</v>
      </c>
      <c r="K48" s="22">
        <f t="shared" si="1"/>
        <v>252.12</v>
      </c>
    </row>
    <row r="49" spans="1:11" x14ac:dyDescent="0.25">
      <c r="A49" s="26" t="s">
        <v>189</v>
      </c>
      <c r="B49" s="27" t="s">
        <v>184</v>
      </c>
      <c r="C49" s="27" t="s">
        <v>9</v>
      </c>
      <c r="D49" s="27" t="s">
        <v>62</v>
      </c>
      <c r="E49" s="27" t="s">
        <v>190</v>
      </c>
      <c r="F49" s="3" t="s">
        <v>186</v>
      </c>
      <c r="G49" s="4" t="s">
        <v>18</v>
      </c>
      <c r="H49" s="4"/>
      <c r="I49" s="4">
        <v>183.12</v>
      </c>
      <c r="J49" s="4">
        <v>69</v>
      </c>
      <c r="K49" s="22">
        <f t="shared" si="1"/>
        <v>252.12</v>
      </c>
    </row>
    <row r="50" spans="1:11" x14ac:dyDescent="0.25">
      <c r="A50" s="26" t="s">
        <v>191</v>
      </c>
      <c r="B50" s="27" t="s">
        <v>184</v>
      </c>
      <c r="C50" s="27" t="s">
        <v>9</v>
      </c>
      <c r="D50" s="27" t="s">
        <v>192</v>
      </c>
      <c r="E50" s="27" t="s">
        <v>193</v>
      </c>
      <c r="F50" s="3" t="s">
        <v>194</v>
      </c>
      <c r="G50" s="4" t="s">
        <v>18</v>
      </c>
      <c r="H50" s="4"/>
      <c r="I50" s="4">
        <v>183.12</v>
      </c>
      <c r="J50" s="4">
        <v>69</v>
      </c>
      <c r="K50" s="22">
        <f t="shared" si="1"/>
        <v>252.12</v>
      </c>
    </row>
    <row r="51" spans="1:11" ht="15.75" thickBot="1" x14ac:dyDescent="0.3">
      <c r="A51" s="28" t="s">
        <v>195</v>
      </c>
      <c r="B51" s="29" t="s">
        <v>184</v>
      </c>
      <c r="C51" s="29" t="s">
        <v>7</v>
      </c>
      <c r="D51" s="29" t="s">
        <v>29</v>
      </c>
      <c r="E51" s="29" t="s">
        <v>196</v>
      </c>
      <c r="F51" s="19" t="s">
        <v>197</v>
      </c>
      <c r="G51" s="20">
        <v>17</v>
      </c>
      <c r="H51" s="20">
        <v>9</v>
      </c>
      <c r="I51" s="20" t="s">
        <v>18</v>
      </c>
      <c r="J51" s="20">
        <v>40</v>
      </c>
      <c r="K51" s="23">
        <f t="shared" si="1"/>
        <v>66</v>
      </c>
    </row>
    <row r="52" spans="1:11" ht="20.100000000000001" customHeight="1" thickBot="1" x14ac:dyDescent="0.3">
      <c r="A52" s="14" t="s">
        <v>12</v>
      </c>
      <c r="B52" s="15" t="s">
        <v>18</v>
      </c>
      <c r="C52" s="16" t="s">
        <v>18</v>
      </c>
      <c r="D52" s="16" t="s">
        <v>18</v>
      </c>
      <c r="E52" s="17" t="s">
        <v>18</v>
      </c>
      <c r="F52" s="18" t="s">
        <v>18</v>
      </c>
      <c r="G52" s="6">
        <f>SUM(G3:G51)</f>
        <v>527</v>
      </c>
      <c r="H52" s="7">
        <f>SUM(H3:H51)</f>
        <v>279</v>
      </c>
      <c r="I52" s="7">
        <f>SUM(I3:I51)</f>
        <v>2380.5599999999995</v>
      </c>
      <c r="J52" s="7">
        <f>SUM(J3:J51)</f>
        <v>2317</v>
      </c>
      <c r="K52" s="8">
        <f>SUM(G52:J52)</f>
        <v>5503.5599999999995</v>
      </c>
    </row>
    <row r="53" spans="1:11" x14ac:dyDescent="0.25">
      <c r="A53" s="2"/>
      <c r="B53" s="2"/>
      <c r="C53" s="2"/>
      <c r="D53" s="2"/>
      <c r="E53" s="2"/>
      <c r="F53" s="2"/>
    </row>
  </sheetData>
  <mergeCells count="1">
    <mergeCell ref="A1:K1"/>
  </mergeCells>
  <printOptions horizontalCentered="1"/>
  <pageMargins left="0.7" right="0.7" top="0.75" bottom="0.75" header="0.3" footer="0.3"/>
  <pageSetup scale="54" fitToHeight="0" orientation="landscape" r:id="rId1"/>
  <ignoredErrors>
    <ignoredError sqref="A3:A44 A45:A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1:N1"/>
  <sheetViews>
    <sheetView workbookViewId="0"/>
  </sheetViews>
  <sheetFormatPr defaultRowHeight="15" x14ac:dyDescent="0.25"/>
  <sheetData>
    <row r="1" spans="7:14" x14ac:dyDescent="0.25">
      <c r="G1">
        <v>120</v>
      </c>
      <c r="H1">
        <v>264</v>
      </c>
      <c r="I1">
        <v>1848</v>
      </c>
      <c r="J1">
        <v>1648.08</v>
      </c>
      <c r="K1">
        <v>345</v>
      </c>
      <c r="L1">
        <v>2026</v>
      </c>
      <c r="N1">
        <v>172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Dados Organizados</vt:lpstr>
      <vt:lpstr>__totals__</vt:lpstr>
      <vt:lpstr>'Dados Organizados'!Titulos_de_impressao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2026-04-01T13:44:04Z</dcterms:created>
  <dcterms:modified xsi:type="dcterms:W3CDTF">2026-04-06T19:27:31Z</dcterms:modified>
  <cp:category/>
</cp:coreProperties>
</file>