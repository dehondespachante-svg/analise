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4136ADA4-CD8F-4904-A706-EDF634CE8A55}" xr6:coauthVersionLast="36" xr6:coauthVersionMax="36" xr10:uidLastSave="{00000000-0000-0000-0000-000000000000}"/>
  <bookViews>
    <workbookView xWindow="0" yWindow="0" windowWidth="17760" windowHeight="11370" xr2:uid="{00000000-000D-0000-FFFF-FFFF00000000}"/>
  </bookViews>
  <sheets>
    <sheet name="Dados Organizados" sheetId="1" r:id="rId1"/>
    <sheet name="__totals__" sheetId="2" state="hidden" r:id="rId2"/>
  </sheets>
  <definedNames>
    <definedName name="_xlnm.Print_Titles" localSheetId="0">'Dados Organizados'!$1:$2</definedName>
  </definedNames>
  <calcPr calcId="191029"/>
</workbook>
</file>

<file path=xl/calcChain.xml><?xml version="1.0" encoding="utf-8"?>
<calcChain xmlns="http://schemas.openxmlformats.org/spreadsheetml/2006/main">
  <c r="K37" i="1" l="1"/>
  <c r="G37" i="1"/>
  <c r="H37" i="1"/>
  <c r="I37" i="1"/>
  <c r="J37" i="1"/>
  <c r="K3" i="1"/>
  <c r="K4" i="1"/>
  <c r="K8" i="1"/>
  <c r="K16" i="1"/>
  <c r="K17" i="1"/>
  <c r="K22" i="1"/>
  <c r="K23" i="1"/>
  <c r="K24" i="1"/>
  <c r="K25" i="1"/>
  <c r="K26" i="1"/>
  <c r="K29" i="1"/>
  <c r="K31" i="1"/>
  <c r="K32" i="1"/>
  <c r="K34" i="1"/>
  <c r="K33" i="1"/>
  <c r="K30" i="1"/>
  <c r="K28" i="1"/>
  <c r="K27" i="1"/>
  <c r="K21" i="1"/>
  <c r="K20" i="1"/>
  <c r="K19" i="1"/>
  <c r="K18" i="1"/>
  <c r="K15" i="1" l="1"/>
  <c r="K14" i="1"/>
  <c r="K13" i="1"/>
  <c r="K12" i="1"/>
  <c r="K11" i="1"/>
  <c r="K10" i="1"/>
  <c r="K9" i="1"/>
  <c r="K7" i="1"/>
  <c r="K6" i="1"/>
  <c r="K5" i="1"/>
</calcChain>
</file>

<file path=xl/sharedStrings.xml><?xml version="1.0" encoding="utf-8"?>
<sst xmlns="http://schemas.openxmlformats.org/spreadsheetml/2006/main" count="207" uniqueCount="140">
  <si>
    <t>OS.</t>
  </si>
  <si>
    <t>DATA.</t>
  </si>
  <si>
    <t>SERVIÇO</t>
  </si>
  <si>
    <t>MARCA/MODELO</t>
  </si>
  <si>
    <t>PLACA</t>
  </si>
  <si>
    <t>CLIENTE</t>
  </si>
  <si>
    <t>REGISTRO DE VEICULO</t>
  </si>
  <si>
    <t>SERVIÇO DESPACHANTE (HONORÁRIO)</t>
  </si>
  <si>
    <t>TOTAL</t>
  </si>
  <si>
    <t>ASSINATURA DIGITAL</t>
  </si>
  <si>
    <t xml:space="preserve"> COMUNICAÇÃO DE VENDA</t>
  </si>
  <si>
    <t>102828</t>
  </si>
  <si>
    <t>01/04/2026</t>
  </si>
  <si>
    <t>TRANSFERENCIA</t>
  </si>
  <si>
    <t>HONDA/CG 160 START</t>
  </si>
  <si>
    <t>TQE9G92</t>
  </si>
  <si>
    <t>MATHEUS DA SILVA SCREMIN</t>
  </si>
  <si>
    <t>103075</t>
  </si>
  <si>
    <t>06/04/2026</t>
  </si>
  <si>
    <t>EMISSAO DE LICENCIAMENTO</t>
  </si>
  <si>
    <t>JOSE CLAUDIO DE OLIVEIRA</t>
  </si>
  <si>
    <t>HONDA/XRE 300 RALLY</t>
  </si>
  <si>
    <t>RXN3E36</t>
  </si>
  <si>
    <t>103055</t>
  </si>
  <si>
    <t>ATPVE + ASS + COM</t>
  </si>
  <si>
    <t>HONDA/XRE 300 SAHARA RAL</t>
  </si>
  <si>
    <t>SXP1E34</t>
  </si>
  <si>
    <t>BRUNO DA SILVA</t>
  </si>
  <si>
    <t>JOSIELE MACHADO GOMES</t>
  </si>
  <si>
    <t>103068</t>
  </si>
  <si>
    <t>HONDA/CB 650F</t>
  </si>
  <si>
    <t>QJL8I59</t>
  </si>
  <si>
    <t>103059</t>
  </si>
  <si>
    <t>TRIUMPH/TIGER 900 RALLYP</t>
  </si>
  <si>
    <t>SXT5J05</t>
  </si>
  <si>
    <t>FABRICIO ANDRE CABRAL</t>
  </si>
  <si>
    <t>CAROLINE DA CRUZ FRAGA</t>
  </si>
  <si>
    <t>103156</t>
  </si>
  <si>
    <t>07/04/2026</t>
  </si>
  <si>
    <t>HONDA/CG 160 TITAN</t>
  </si>
  <si>
    <t>TPS9G22</t>
  </si>
  <si>
    <t>08/04/2026</t>
  </si>
  <si>
    <t>SUZUKI/GSX S750A</t>
  </si>
  <si>
    <t>PLS3D37</t>
  </si>
  <si>
    <t>RAFAEL DE OLIVEIRA SANTA CRUZ</t>
  </si>
  <si>
    <t>DEIVID DA SILVA BUSS</t>
  </si>
  <si>
    <t>103403</t>
  </si>
  <si>
    <t>13/04/2026</t>
  </si>
  <si>
    <t>HONDA/CB300F TWISTER ABS</t>
  </si>
  <si>
    <t>SXF2C51</t>
  </si>
  <si>
    <t>103390</t>
  </si>
  <si>
    <t>HONDA/NXR160 BROS ESDD</t>
  </si>
  <si>
    <t>RYU4J03</t>
  </si>
  <si>
    <t>FRANCISCO DA SILVA SOUZA</t>
  </si>
  <si>
    <t>ROBSON DUARTE ROLLIN</t>
  </si>
  <si>
    <t>HONDA/CG 160 FAN</t>
  </si>
  <si>
    <t>RYT3E35</t>
  </si>
  <si>
    <t>103392</t>
  </si>
  <si>
    <t>HONDA/BIZ 125 ES</t>
  </si>
  <si>
    <t>MJA5F38</t>
  </si>
  <si>
    <t>103394</t>
  </si>
  <si>
    <t>ALINE BARBOSA DE ANDRADE SIFUENTES</t>
  </si>
  <si>
    <t>LARISSA MENICA BEZERRA SOARES</t>
  </si>
  <si>
    <t>HONDA/BIZ 125 EX</t>
  </si>
  <si>
    <t>MKN2162</t>
  </si>
  <si>
    <t>16/04/2026</t>
  </si>
  <si>
    <t>103579</t>
  </si>
  <si>
    <t>103574</t>
  </si>
  <si>
    <t>FDZ9G77</t>
  </si>
  <si>
    <t>MARIA CAROLINA DIOGO FERNANDES</t>
  </si>
  <si>
    <t>EDUARDO DA SILVA DAMASIO</t>
  </si>
  <si>
    <t>HONDA/XRE 190</t>
  </si>
  <si>
    <t>TPS7F43</t>
  </si>
  <si>
    <t>PRIMEIRO EMPLACAMENTO</t>
  </si>
  <si>
    <t>17/04/2026</t>
  </si>
  <si>
    <t>103622</t>
  </si>
  <si>
    <t>HONDA/CBX 250 TWISTER</t>
  </si>
  <si>
    <t>MEB9211</t>
  </si>
  <si>
    <t>CARLOS EDUARDO DA SILVA</t>
  </si>
  <si>
    <t>20/04/2026</t>
  </si>
  <si>
    <t>103651</t>
  </si>
  <si>
    <t>103720</t>
  </si>
  <si>
    <t>HONDA/ADV 160</t>
  </si>
  <si>
    <t>SXZ4J16</t>
  </si>
  <si>
    <t>SERGIO PEDROSO</t>
  </si>
  <si>
    <t>103727</t>
  </si>
  <si>
    <t>JAQUELINE MEDEIROS DA SILVA</t>
  </si>
  <si>
    <t>RLK9I72</t>
  </si>
  <si>
    <t>HONDA/NC 750 X ABS</t>
  </si>
  <si>
    <t>IZW6G22</t>
  </si>
  <si>
    <t>JADSON COSTA MOREIRA</t>
  </si>
  <si>
    <t>103744</t>
  </si>
  <si>
    <t>22/04/2026</t>
  </si>
  <si>
    <t>FABIANO ROSA CUNHA</t>
  </si>
  <si>
    <t>MIR2E46</t>
  </si>
  <si>
    <t>103849</t>
  </si>
  <si>
    <t>QJM4F38</t>
  </si>
  <si>
    <t>103880</t>
  </si>
  <si>
    <t>23/04/2026</t>
  </si>
  <si>
    <t>24/04/2026</t>
  </si>
  <si>
    <t>RYU8D75</t>
  </si>
  <si>
    <t>103879</t>
  </si>
  <si>
    <t>103878</t>
  </si>
  <si>
    <t>HONDA/NX 500</t>
  </si>
  <si>
    <t>TPT7E58</t>
  </si>
  <si>
    <t>JULIANA MENDES MODOLON</t>
  </si>
  <si>
    <t>MLC1741</t>
  </si>
  <si>
    <t>103877</t>
  </si>
  <si>
    <t>REMILSON MENDES DOS REIS</t>
  </si>
  <si>
    <t>ATPVE</t>
  </si>
  <si>
    <t>103861</t>
  </si>
  <si>
    <t>103938</t>
  </si>
  <si>
    <t>27/04/2026</t>
  </si>
  <si>
    <t>EDSON DE SOUZA DAMASIO</t>
  </si>
  <si>
    <t>103937</t>
  </si>
  <si>
    <t>FABIOLA GOMES BENFICA</t>
  </si>
  <si>
    <t>PEDRO LUCAS DA ROSA JUSTINO</t>
  </si>
  <si>
    <t>HONDA/XRE 190 ADV</t>
  </si>
  <si>
    <t>TPX5G43</t>
  </si>
  <si>
    <t>103983</t>
  </si>
  <si>
    <t>QZI3G34</t>
  </si>
  <si>
    <t>104036</t>
  </si>
  <si>
    <t>29/04/2026</t>
  </si>
  <si>
    <t>GABRIEL DE MEDEIROS SERAFIM</t>
  </si>
  <si>
    <t>HONDA/ADV 150</t>
  </si>
  <si>
    <t>GBZ1H67</t>
  </si>
  <si>
    <t>104066</t>
  </si>
  <si>
    <t>104067</t>
  </si>
  <si>
    <t>MJB5098</t>
  </si>
  <si>
    <t>J.P. CONSULTORIA E ASSESSORIA EMPRESARIAL LTDA</t>
  </si>
  <si>
    <t>104139</t>
  </si>
  <si>
    <t>30/04/2026</t>
  </si>
  <si>
    <t>104108</t>
  </si>
  <si>
    <t>YAMAHA/XTZ250 TENERE</t>
  </si>
  <si>
    <t>QJT4G98</t>
  </si>
  <si>
    <t>RAFAEL RODRIGUES ZACARIAS</t>
  </si>
  <si>
    <t>PLANILHA CIA DA MOTO - REF. SERVIÇOS PRESTADOS ABRIL/2026</t>
  </si>
  <si>
    <t>103985</t>
  </si>
  <si>
    <t xml:space="preserve">ASSINATURAS DIGITAIS </t>
  </si>
  <si>
    <t>103194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</si>
</sst>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433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rgb="FF000000"/>
      </right>
      <top style="medium">
        <color theme="1"/>
      </top>
      <bottom style="medium">
        <color theme="1"/>
      </bottom>
      <diagonal/>
    </border>
    <border>
      <left style="thick">
        <color rgb="FF000000"/>
      </left>
      <right style="thick">
        <color rgb="FF000000"/>
      </right>
      <top style="medium">
        <color theme="1"/>
      </top>
      <bottom style="medium">
        <color theme="1"/>
      </bottom>
      <diagonal/>
    </border>
    <border>
      <left style="thick">
        <color rgb="FF0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theme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rgb="FF000000"/>
      </top>
      <bottom style="medium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4" xfId="0" applyBorder="1"/>
    <xf numFmtId="49" fontId="0" fillId="0" borderId="2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/>
    <xf numFmtId="49" fontId="0" fillId="0" borderId="12" xfId="0" applyNumberFormat="1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3" borderId="16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0" fillId="0" borderId="23" xfId="0" applyNumberFormat="1" applyBorder="1" applyAlignment="1">
      <alignment horizontal="left" vertical="center"/>
    </xf>
    <xf numFmtId="164" fontId="0" fillId="0" borderId="24" xfId="0" applyNumberFormat="1" applyBorder="1" applyAlignment="1">
      <alignment horizontal="center" vertical="center"/>
    </xf>
    <xf numFmtId="164" fontId="5" fillId="0" borderId="18" xfId="0" applyNumberFormat="1" applyFont="1" applyBorder="1" applyAlignment="1">
      <alignment horizontal="right" vertical="center"/>
    </xf>
    <xf numFmtId="164" fontId="5" fillId="0" borderId="20" xfId="0" applyNumberFormat="1" applyFont="1" applyBorder="1" applyAlignment="1">
      <alignment horizontal="right" vertical="center"/>
    </xf>
    <xf numFmtId="164" fontId="5" fillId="0" borderId="25" xfId="0" applyNumberFormat="1" applyFont="1" applyBorder="1" applyAlignment="1">
      <alignment horizontal="right" vertical="center"/>
    </xf>
    <xf numFmtId="49" fontId="0" fillId="0" borderId="17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64" fontId="6" fillId="4" borderId="6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workbookViewId="0">
      <selection activeCell="F15" sqref="F15"/>
    </sheetView>
  </sheetViews>
  <sheetFormatPr defaultRowHeight="15" x14ac:dyDescent="0.25"/>
  <cols>
    <col min="1" max="1" width="10.5703125" customWidth="1"/>
    <col min="2" max="2" width="12.28515625" customWidth="1"/>
    <col min="3" max="3" width="37.28515625" customWidth="1"/>
    <col min="4" max="4" width="28.42578125" customWidth="1"/>
    <col min="5" max="5" width="11.85546875" customWidth="1"/>
    <col min="6" max="6" width="47.28515625" customWidth="1"/>
    <col min="7" max="7" width="14.140625" customWidth="1"/>
    <col min="8" max="8" width="11.42578125" customWidth="1"/>
    <col min="9" max="9" width="11.28515625" customWidth="1"/>
    <col min="10" max="10" width="17" customWidth="1"/>
    <col min="11" max="11" width="14.140625" customWidth="1"/>
  </cols>
  <sheetData>
    <row r="1" spans="1:12" s="1" customFormat="1" ht="21.95" customHeight="1" thickBot="1" x14ac:dyDescent="0.3">
      <c r="A1" s="31" t="s">
        <v>136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2" ht="40.5" customHeight="1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10</v>
      </c>
      <c r="H2" s="9" t="s">
        <v>9</v>
      </c>
      <c r="I2" s="9" t="s">
        <v>6</v>
      </c>
      <c r="J2" s="9" t="s">
        <v>7</v>
      </c>
      <c r="K2" s="10" t="s">
        <v>8</v>
      </c>
    </row>
    <row r="3" spans="1:12" x14ac:dyDescent="0.25">
      <c r="A3" s="21" t="s">
        <v>11</v>
      </c>
      <c r="B3" s="22" t="s">
        <v>12</v>
      </c>
      <c r="C3" s="22" t="s">
        <v>13</v>
      </c>
      <c r="D3" s="22" t="s">
        <v>14</v>
      </c>
      <c r="E3" s="22" t="s">
        <v>15</v>
      </c>
      <c r="F3" s="6" t="s">
        <v>16</v>
      </c>
      <c r="G3" s="7"/>
      <c r="H3" s="7"/>
      <c r="I3" s="7">
        <v>183.12</v>
      </c>
      <c r="J3" s="7">
        <v>69</v>
      </c>
      <c r="K3" s="18">
        <f t="shared" ref="K3:K8" si="0">SUM(G3:J3)</f>
        <v>252.12</v>
      </c>
      <c r="L3" s="5"/>
    </row>
    <row r="4" spans="1:12" x14ac:dyDescent="0.25">
      <c r="A4" s="23" t="s">
        <v>17</v>
      </c>
      <c r="B4" s="24" t="s">
        <v>18</v>
      </c>
      <c r="C4" s="24" t="s">
        <v>19</v>
      </c>
      <c r="D4" s="24" t="s">
        <v>21</v>
      </c>
      <c r="E4" s="24" t="s">
        <v>22</v>
      </c>
      <c r="F4" s="3" t="s">
        <v>20</v>
      </c>
      <c r="G4" s="4"/>
      <c r="H4" s="4"/>
      <c r="I4" s="4"/>
      <c r="J4" s="4">
        <v>30</v>
      </c>
      <c r="K4" s="19">
        <f t="shared" si="0"/>
        <v>30</v>
      </c>
    </row>
    <row r="5" spans="1:12" x14ac:dyDescent="0.25">
      <c r="A5" s="23" t="s">
        <v>23</v>
      </c>
      <c r="B5" s="24" t="s">
        <v>18</v>
      </c>
      <c r="C5" s="24" t="s">
        <v>24</v>
      </c>
      <c r="D5" s="24" t="s">
        <v>25</v>
      </c>
      <c r="E5" s="24" t="s">
        <v>26</v>
      </c>
      <c r="F5" s="3" t="s">
        <v>27</v>
      </c>
      <c r="G5" s="4">
        <v>17</v>
      </c>
      <c r="H5" s="4">
        <v>9</v>
      </c>
      <c r="I5" s="4"/>
      <c r="J5" s="4">
        <v>40</v>
      </c>
      <c r="K5" s="19">
        <f t="shared" si="0"/>
        <v>66</v>
      </c>
    </row>
    <row r="6" spans="1:12" x14ac:dyDescent="0.25">
      <c r="A6" s="23" t="s">
        <v>29</v>
      </c>
      <c r="B6" s="24" t="s">
        <v>18</v>
      </c>
      <c r="C6" s="24" t="s">
        <v>24</v>
      </c>
      <c r="D6" s="24" t="s">
        <v>30</v>
      </c>
      <c r="E6" s="24" t="s">
        <v>31</v>
      </c>
      <c r="F6" s="3" t="s">
        <v>28</v>
      </c>
      <c r="G6" s="4">
        <v>17</v>
      </c>
      <c r="H6" s="4">
        <v>9</v>
      </c>
      <c r="I6" s="4"/>
      <c r="J6" s="4">
        <v>40</v>
      </c>
      <c r="K6" s="19">
        <f t="shared" si="0"/>
        <v>66</v>
      </c>
    </row>
    <row r="7" spans="1:12" x14ac:dyDescent="0.25">
      <c r="A7" s="23" t="s">
        <v>32</v>
      </c>
      <c r="B7" s="24" t="s">
        <v>18</v>
      </c>
      <c r="C7" s="24" t="s">
        <v>24</v>
      </c>
      <c r="D7" s="24" t="s">
        <v>33</v>
      </c>
      <c r="E7" s="24" t="s">
        <v>34</v>
      </c>
      <c r="F7" s="3" t="s">
        <v>35</v>
      </c>
      <c r="G7" s="4">
        <v>17</v>
      </c>
      <c r="H7" s="4">
        <v>9</v>
      </c>
      <c r="I7" s="4"/>
      <c r="J7" s="4">
        <v>40</v>
      </c>
      <c r="K7" s="19">
        <f t="shared" si="0"/>
        <v>66</v>
      </c>
    </row>
    <row r="8" spans="1:12" x14ac:dyDescent="0.25">
      <c r="A8" s="23" t="s">
        <v>37</v>
      </c>
      <c r="B8" s="24" t="s">
        <v>38</v>
      </c>
      <c r="C8" s="24" t="s">
        <v>13</v>
      </c>
      <c r="D8" s="24" t="s">
        <v>39</v>
      </c>
      <c r="E8" s="24" t="s">
        <v>40</v>
      </c>
      <c r="F8" s="3" t="s">
        <v>36</v>
      </c>
      <c r="G8" s="4"/>
      <c r="H8" s="4"/>
      <c r="I8" s="4">
        <v>183.12</v>
      </c>
      <c r="J8" s="4">
        <v>69</v>
      </c>
      <c r="K8" s="19">
        <f t="shared" si="0"/>
        <v>252.12</v>
      </c>
    </row>
    <row r="9" spans="1:12" x14ac:dyDescent="0.25">
      <c r="A9" s="23" t="s">
        <v>139</v>
      </c>
      <c r="B9" s="24" t="s">
        <v>41</v>
      </c>
      <c r="C9" s="24" t="s">
        <v>24</v>
      </c>
      <c r="D9" s="24" t="s">
        <v>42</v>
      </c>
      <c r="E9" s="24" t="s">
        <v>43</v>
      </c>
      <c r="F9" s="3" t="s">
        <v>44</v>
      </c>
      <c r="G9" s="4">
        <v>17</v>
      </c>
      <c r="H9" s="4">
        <v>9</v>
      </c>
      <c r="I9" s="4"/>
      <c r="J9" s="4">
        <v>40</v>
      </c>
      <c r="K9" s="19">
        <f t="shared" ref="K9:K15" si="1">SUM(G9:J9)</f>
        <v>66</v>
      </c>
    </row>
    <row r="10" spans="1:12" x14ac:dyDescent="0.25">
      <c r="A10" s="23" t="s">
        <v>46</v>
      </c>
      <c r="B10" s="24" t="s">
        <v>47</v>
      </c>
      <c r="C10" s="24" t="s">
        <v>24</v>
      </c>
      <c r="D10" s="24" t="s">
        <v>48</v>
      </c>
      <c r="E10" s="24" t="s">
        <v>49</v>
      </c>
      <c r="F10" s="3" t="s">
        <v>45</v>
      </c>
      <c r="G10" s="4">
        <v>17</v>
      </c>
      <c r="H10" s="4">
        <v>9</v>
      </c>
      <c r="I10" s="4"/>
      <c r="J10" s="4">
        <v>40</v>
      </c>
      <c r="K10" s="19">
        <f t="shared" si="1"/>
        <v>66</v>
      </c>
    </row>
    <row r="11" spans="1:12" x14ac:dyDescent="0.25">
      <c r="A11" s="23" t="s">
        <v>50</v>
      </c>
      <c r="B11" s="24" t="s">
        <v>47</v>
      </c>
      <c r="C11" s="24" t="s">
        <v>24</v>
      </c>
      <c r="D11" s="24" t="s">
        <v>51</v>
      </c>
      <c r="E11" s="24" t="s">
        <v>52</v>
      </c>
      <c r="F11" s="3" t="s">
        <v>53</v>
      </c>
      <c r="G11" s="4">
        <v>17</v>
      </c>
      <c r="H11" s="4">
        <v>9</v>
      </c>
      <c r="I11" s="4"/>
      <c r="J11" s="4">
        <v>40</v>
      </c>
      <c r="K11" s="19">
        <f t="shared" si="1"/>
        <v>66</v>
      </c>
    </row>
    <row r="12" spans="1:12" x14ac:dyDescent="0.25">
      <c r="A12" s="23" t="s">
        <v>57</v>
      </c>
      <c r="B12" s="24" t="s">
        <v>47</v>
      </c>
      <c r="C12" s="24" t="s">
        <v>24</v>
      </c>
      <c r="D12" s="24" t="s">
        <v>55</v>
      </c>
      <c r="E12" s="24" t="s">
        <v>56</v>
      </c>
      <c r="F12" s="3" t="s">
        <v>54</v>
      </c>
      <c r="G12" s="4">
        <v>17</v>
      </c>
      <c r="H12" s="4">
        <v>9</v>
      </c>
      <c r="I12" s="4"/>
      <c r="J12" s="4">
        <v>40</v>
      </c>
      <c r="K12" s="19">
        <f t="shared" si="1"/>
        <v>66</v>
      </c>
    </row>
    <row r="13" spans="1:12" x14ac:dyDescent="0.25">
      <c r="A13" s="23" t="s">
        <v>60</v>
      </c>
      <c r="B13" s="24" t="s">
        <v>47</v>
      </c>
      <c r="C13" s="24" t="s">
        <v>24</v>
      </c>
      <c r="D13" s="24" t="s">
        <v>58</v>
      </c>
      <c r="E13" s="24" t="s">
        <v>59</v>
      </c>
      <c r="F13" s="3" t="s">
        <v>61</v>
      </c>
      <c r="G13" s="4">
        <v>17</v>
      </c>
      <c r="H13" s="4">
        <v>9</v>
      </c>
      <c r="I13" s="4"/>
      <c r="J13" s="4">
        <v>40</v>
      </c>
      <c r="K13" s="19">
        <f t="shared" si="1"/>
        <v>66</v>
      </c>
    </row>
    <row r="14" spans="1:12" x14ac:dyDescent="0.25">
      <c r="A14" s="23" t="s">
        <v>66</v>
      </c>
      <c r="B14" s="24" t="s">
        <v>65</v>
      </c>
      <c r="C14" s="24" t="s">
        <v>24</v>
      </c>
      <c r="D14" s="24" t="s">
        <v>63</v>
      </c>
      <c r="E14" s="24" t="s">
        <v>64</v>
      </c>
      <c r="F14" s="3" t="s">
        <v>62</v>
      </c>
      <c r="G14" s="4">
        <v>17</v>
      </c>
      <c r="H14" s="4">
        <v>9</v>
      </c>
      <c r="I14" s="4"/>
      <c r="J14" s="4">
        <v>40</v>
      </c>
      <c r="K14" s="19">
        <f t="shared" si="1"/>
        <v>66</v>
      </c>
    </row>
    <row r="15" spans="1:12" x14ac:dyDescent="0.25">
      <c r="A15" s="23" t="s">
        <v>67</v>
      </c>
      <c r="B15" s="24" t="s">
        <v>65</v>
      </c>
      <c r="C15" s="24" t="s">
        <v>24</v>
      </c>
      <c r="D15" s="24" t="s">
        <v>30</v>
      </c>
      <c r="E15" s="24" t="s">
        <v>68</v>
      </c>
      <c r="F15" s="3" t="s">
        <v>69</v>
      </c>
      <c r="G15" s="4">
        <v>17</v>
      </c>
      <c r="H15" s="4">
        <v>9</v>
      </c>
      <c r="I15" s="4"/>
      <c r="J15" s="4">
        <v>40</v>
      </c>
      <c r="K15" s="19">
        <f t="shared" si="1"/>
        <v>66</v>
      </c>
    </row>
    <row r="16" spans="1:12" x14ac:dyDescent="0.25">
      <c r="A16" s="23" t="s">
        <v>75</v>
      </c>
      <c r="B16" s="24" t="s">
        <v>74</v>
      </c>
      <c r="C16" s="24" t="s">
        <v>73</v>
      </c>
      <c r="D16" s="24" t="s">
        <v>71</v>
      </c>
      <c r="E16" s="24" t="s">
        <v>72</v>
      </c>
      <c r="F16" s="3" t="s">
        <v>70</v>
      </c>
      <c r="G16" s="4"/>
      <c r="H16" s="4"/>
      <c r="I16" s="4">
        <v>183.12</v>
      </c>
      <c r="J16" s="4">
        <v>69</v>
      </c>
      <c r="K16" s="19">
        <f t="shared" ref="K16:K34" si="2">SUM(G16:J16)</f>
        <v>252.12</v>
      </c>
    </row>
    <row r="17" spans="1:11" x14ac:dyDescent="0.25">
      <c r="A17" s="23" t="s">
        <v>80</v>
      </c>
      <c r="B17" s="24" t="s">
        <v>79</v>
      </c>
      <c r="C17" s="24" t="s">
        <v>19</v>
      </c>
      <c r="D17" s="24" t="s">
        <v>76</v>
      </c>
      <c r="E17" s="24" t="s">
        <v>77</v>
      </c>
      <c r="F17" s="3" t="s">
        <v>78</v>
      </c>
      <c r="G17" s="4"/>
      <c r="H17" s="4"/>
      <c r="I17" s="4"/>
      <c r="J17" s="4">
        <v>30</v>
      </c>
      <c r="K17" s="19">
        <f t="shared" si="2"/>
        <v>30</v>
      </c>
    </row>
    <row r="18" spans="1:11" x14ac:dyDescent="0.25">
      <c r="A18" s="23" t="s">
        <v>81</v>
      </c>
      <c r="B18" s="24" t="s">
        <v>79</v>
      </c>
      <c r="C18" s="24" t="s">
        <v>24</v>
      </c>
      <c r="D18" s="24" t="s">
        <v>82</v>
      </c>
      <c r="E18" s="24" t="s">
        <v>83</v>
      </c>
      <c r="F18" s="3" t="s">
        <v>84</v>
      </c>
      <c r="G18" s="4">
        <v>17</v>
      </c>
      <c r="H18" s="4">
        <v>9</v>
      </c>
      <c r="I18" s="4"/>
      <c r="J18" s="4">
        <v>40</v>
      </c>
      <c r="K18" s="19">
        <f t="shared" si="2"/>
        <v>66</v>
      </c>
    </row>
    <row r="19" spans="1:11" x14ac:dyDescent="0.25">
      <c r="A19" s="23" t="s">
        <v>85</v>
      </c>
      <c r="B19" s="24" t="s">
        <v>79</v>
      </c>
      <c r="C19" s="24" t="s">
        <v>24</v>
      </c>
      <c r="D19" s="24" t="s">
        <v>51</v>
      </c>
      <c r="E19" s="24" t="s">
        <v>87</v>
      </c>
      <c r="F19" s="27" t="s">
        <v>86</v>
      </c>
      <c r="G19" s="4">
        <v>17</v>
      </c>
      <c r="H19" s="4">
        <v>9</v>
      </c>
      <c r="I19" s="4"/>
      <c r="J19" s="4">
        <v>40</v>
      </c>
      <c r="K19" s="19">
        <f t="shared" si="2"/>
        <v>66</v>
      </c>
    </row>
    <row r="20" spans="1:11" x14ac:dyDescent="0.25">
      <c r="A20" s="23" t="s">
        <v>91</v>
      </c>
      <c r="B20" s="24" t="s">
        <v>92</v>
      </c>
      <c r="C20" s="24" t="s">
        <v>24</v>
      </c>
      <c r="D20" s="24" t="s">
        <v>88</v>
      </c>
      <c r="E20" s="24" t="s">
        <v>89</v>
      </c>
      <c r="F20" s="3" t="s">
        <v>90</v>
      </c>
      <c r="G20" s="4">
        <v>17</v>
      </c>
      <c r="H20" s="4">
        <v>9</v>
      </c>
      <c r="I20" s="4"/>
      <c r="J20" s="4">
        <v>40</v>
      </c>
      <c r="K20" s="19">
        <f t="shared" si="2"/>
        <v>66</v>
      </c>
    </row>
    <row r="21" spans="1:11" x14ac:dyDescent="0.25">
      <c r="A21" s="23" t="s">
        <v>95</v>
      </c>
      <c r="B21" s="24" t="s">
        <v>98</v>
      </c>
      <c r="C21" s="24" t="s">
        <v>24</v>
      </c>
      <c r="D21" s="24" t="s">
        <v>58</v>
      </c>
      <c r="E21" s="24" t="s">
        <v>94</v>
      </c>
      <c r="F21" s="3" t="s">
        <v>93</v>
      </c>
      <c r="G21" s="4">
        <v>17</v>
      </c>
      <c r="H21" s="4">
        <v>9</v>
      </c>
      <c r="I21" s="4"/>
      <c r="J21" s="4">
        <v>40</v>
      </c>
      <c r="K21" s="19">
        <f t="shared" si="2"/>
        <v>66</v>
      </c>
    </row>
    <row r="22" spans="1:11" x14ac:dyDescent="0.25">
      <c r="A22" s="23" t="s">
        <v>97</v>
      </c>
      <c r="B22" s="24" t="s">
        <v>99</v>
      </c>
      <c r="C22" s="24" t="s">
        <v>13</v>
      </c>
      <c r="D22" s="24" t="s">
        <v>39</v>
      </c>
      <c r="E22" s="24" t="s">
        <v>96</v>
      </c>
      <c r="F22" s="3" t="s">
        <v>70</v>
      </c>
      <c r="G22" s="4"/>
      <c r="H22" s="4"/>
      <c r="I22" s="4">
        <v>183.12</v>
      </c>
      <c r="J22" s="4">
        <v>69</v>
      </c>
      <c r="K22" s="19">
        <f t="shared" si="2"/>
        <v>252.12</v>
      </c>
    </row>
    <row r="23" spans="1:11" x14ac:dyDescent="0.25">
      <c r="A23" s="23" t="s">
        <v>101</v>
      </c>
      <c r="B23" s="24" t="s">
        <v>99</v>
      </c>
      <c r="C23" s="24" t="s">
        <v>13</v>
      </c>
      <c r="D23" s="24" t="s">
        <v>39</v>
      </c>
      <c r="E23" s="24" t="s">
        <v>100</v>
      </c>
      <c r="F23" s="3" t="s">
        <v>70</v>
      </c>
      <c r="G23" s="4"/>
      <c r="H23" s="4"/>
      <c r="I23" s="4">
        <v>183.12</v>
      </c>
      <c r="J23" s="4">
        <v>69</v>
      </c>
      <c r="K23" s="19">
        <f t="shared" si="2"/>
        <v>252.12</v>
      </c>
    </row>
    <row r="24" spans="1:11" x14ac:dyDescent="0.25">
      <c r="A24" s="23" t="s">
        <v>102</v>
      </c>
      <c r="B24" s="24" t="s">
        <v>99</v>
      </c>
      <c r="C24" s="24" t="s">
        <v>13</v>
      </c>
      <c r="D24" s="24" t="s">
        <v>103</v>
      </c>
      <c r="E24" s="24" t="s">
        <v>104</v>
      </c>
      <c r="F24" s="3" t="s">
        <v>105</v>
      </c>
      <c r="G24" s="4"/>
      <c r="H24" s="4"/>
      <c r="I24" s="4">
        <v>183.12</v>
      </c>
      <c r="J24" s="4">
        <v>69</v>
      </c>
      <c r="K24" s="19">
        <f t="shared" si="2"/>
        <v>252.12</v>
      </c>
    </row>
    <row r="25" spans="1:11" x14ac:dyDescent="0.25">
      <c r="A25" s="23" t="s">
        <v>107</v>
      </c>
      <c r="B25" s="24" t="s">
        <v>99</v>
      </c>
      <c r="C25" s="24" t="s">
        <v>13</v>
      </c>
      <c r="D25" s="24" t="s">
        <v>63</v>
      </c>
      <c r="E25" s="24" t="s">
        <v>106</v>
      </c>
      <c r="F25" s="3" t="s">
        <v>70</v>
      </c>
      <c r="G25" s="4"/>
      <c r="H25" s="4"/>
      <c r="I25" s="4">
        <v>183.12</v>
      </c>
      <c r="J25" s="4">
        <v>69</v>
      </c>
      <c r="K25" s="19">
        <f t="shared" si="2"/>
        <v>252.12</v>
      </c>
    </row>
    <row r="26" spans="1:11" x14ac:dyDescent="0.25">
      <c r="A26" s="23" t="s">
        <v>110</v>
      </c>
      <c r="B26" s="24" t="s">
        <v>99</v>
      </c>
      <c r="C26" s="24" t="s">
        <v>109</v>
      </c>
      <c r="D26" s="24" t="s">
        <v>76</v>
      </c>
      <c r="E26" s="24" t="s">
        <v>77</v>
      </c>
      <c r="F26" s="3" t="s">
        <v>108</v>
      </c>
      <c r="G26" s="4"/>
      <c r="H26" s="4"/>
      <c r="I26" s="4"/>
      <c r="J26" s="4">
        <v>40</v>
      </c>
      <c r="K26" s="19">
        <f t="shared" si="2"/>
        <v>40</v>
      </c>
    </row>
    <row r="27" spans="1:11" x14ac:dyDescent="0.25">
      <c r="A27" s="23" t="s">
        <v>111</v>
      </c>
      <c r="B27" s="24" t="s">
        <v>112</v>
      </c>
      <c r="C27" s="24" t="s">
        <v>24</v>
      </c>
      <c r="D27" s="24" t="s">
        <v>71</v>
      </c>
      <c r="E27" s="24" t="s">
        <v>72</v>
      </c>
      <c r="F27" s="3" t="s">
        <v>113</v>
      </c>
      <c r="G27" s="4">
        <v>17</v>
      </c>
      <c r="H27" s="4">
        <v>9</v>
      </c>
      <c r="I27" s="4"/>
      <c r="J27" s="4">
        <v>40</v>
      </c>
      <c r="K27" s="19">
        <f t="shared" si="2"/>
        <v>66</v>
      </c>
    </row>
    <row r="28" spans="1:11" x14ac:dyDescent="0.25">
      <c r="A28" s="23" t="s">
        <v>114</v>
      </c>
      <c r="B28" s="24" t="s">
        <v>112</v>
      </c>
      <c r="C28" s="24" t="s">
        <v>24</v>
      </c>
      <c r="D28" s="24" t="s">
        <v>63</v>
      </c>
      <c r="E28" s="24" t="s">
        <v>106</v>
      </c>
      <c r="F28" s="3" t="s">
        <v>115</v>
      </c>
      <c r="G28" s="4">
        <v>17</v>
      </c>
      <c r="H28" s="4">
        <v>9</v>
      </c>
      <c r="I28" s="4"/>
      <c r="J28" s="4">
        <v>40</v>
      </c>
      <c r="K28" s="19">
        <f t="shared" si="2"/>
        <v>66</v>
      </c>
    </row>
    <row r="29" spans="1:11" x14ac:dyDescent="0.25">
      <c r="A29" s="23" t="s">
        <v>119</v>
      </c>
      <c r="B29" s="24" t="s">
        <v>112</v>
      </c>
      <c r="C29" s="24" t="s">
        <v>73</v>
      </c>
      <c r="D29" s="24" t="s">
        <v>117</v>
      </c>
      <c r="E29" s="24" t="s">
        <v>118</v>
      </c>
      <c r="F29" s="3" t="s">
        <v>116</v>
      </c>
      <c r="G29" s="4"/>
      <c r="H29" s="4"/>
      <c r="I29" s="4">
        <v>183.12</v>
      </c>
      <c r="J29" s="4">
        <v>69</v>
      </c>
      <c r="K29" s="19">
        <f t="shared" si="2"/>
        <v>252.12</v>
      </c>
    </row>
    <row r="30" spans="1:11" x14ac:dyDescent="0.25">
      <c r="A30" s="23" t="s">
        <v>121</v>
      </c>
      <c r="B30" s="24" t="s">
        <v>122</v>
      </c>
      <c r="C30" s="24" t="s">
        <v>24</v>
      </c>
      <c r="D30" s="24" t="s">
        <v>51</v>
      </c>
      <c r="E30" s="24" t="s">
        <v>120</v>
      </c>
      <c r="F30" s="3" t="s">
        <v>123</v>
      </c>
      <c r="G30" s="4">
        <v>17</v>
      </c>
      <c r="H30" s="4">
        <v>9</v>
      </c>
      <c r="I30" s="4"/>
      <c r="J30" s="4">
        <v>40</v>
      </c>
      <c r="K30" s="19">
        <f t="shared" si="2"/>
        <v>66</v>
      </c>
    </row>
    <row r="31" spans="1:11" x14ac:dyDescent="0.25">
      <c r="A31" s="23" t="s">
        <v>126</v>
      </c>
      <c r="B31" s="24" t="s">
        <v>122</v>
      </c>
      <c r="C31" s="24" t="s">
        <v>13</v>
      </c>
      <c r="D31" s="24" t="s">
        <v>124</v>
      </c>
      <c r="E31" s="24" t="s">
        <v>125</v>
      </c>
      <c r="F31" s="3" t="s">
        <v>70</v>
      </c>
      <c r="G31" s="4"/>
      <c r="H31" s="4"/>
      <c r="I31" s="4">
        <v>183.12</v>
      </c>
      <c r="J31" s="4">
        <v>69</v>
      </c>
      <c r="K31" s="19">
        <f t="shared" si="2"/>
        <v>252.12</v>
      </c>
    </row>
    <row r="32" spans="1:11" x14ac:dyDescent="0.25">
      <c r="A32" s="23" t="s">
        <v>127</v>
      </c>
      <c r="B32" s="24" t="s">
        <v>122</v>
      </c>
      <c r="C32" s="24" t="s">
        <v>13</v>
      </c>
      <c r="D32" s="24" t="s">
        <v>58</v>
      </c>
      <c r="E32" s="24" t="s">
        <v>128</v>
      </c>
      <c r="F32" s="3" t="s">
        <v>70</v>
      </c>
      <c r="G32" s="4"/>
      <c r="H32" s="4"/>
      <c r="I32" s="4">
        <v>183.12</v>
      </c>
      <c r="J32" s="4">
        <v>69</v>
      </c>
      <c r="K32" s="19">
        <f t="shared" si="2"/>
        <v>252.12</v>
      </c>
    </row>
    <row r="33" spans="1:11" x14ac:dyDescent="0.25">
      <c r="A33" s="23" t="s">
        <v>130</v>
      </c>
      <c r="B33" s="24" t="s">
        <v>131</v>
      </c>
      <c r="C33" s="24" t="s">
        <v>24</v>
      </c>
      <c r="D33" s="24" t="s">
        <v>103</v>
      </c>
      <c r="E33" s="24" t="s">
        <v>104</v>
      </c>
      <c r="F33" s="3" t="s">
        <v>129</v>
      </c>
      <c r="G33" s="4">
        <v>17</v>
      </c>
      <c r="H33" s="4">
        <v>9</v>
      </c>
      <c r="I33" s="4"/>
      <c r="J33" s="4">
        <v>40</v>
      </c>
      <c r="K33" s="19">
        <f t="shared" si="2"/>
        <v>66</v>
      </c>
    </row>
    <row r="34" spans="1:11" x14ac:dyDescent="0.25">
      <c r="A34" s="23" t="s">
        <v>132</v>
      </c>
      <c r="B34" s="24" t="s">
        <v>131</v>
      </c>
      <c r="C34" s="24" t="s">
        <v>24</v>
      </c>
      <c r="D34" s="24" t="s">
        <v>133</v>
      </c>
      <c r="E34" s="24" t="s">
        <v>134</v>
      </c>
      <c r="F34" s="3" t="s">
        <v>135</v>
      </c>
      <c r="G34" s="4">
        <v>17</v>
      </c>
      <c r="H34" s="4">
        <v>9</v>
      </c>
      <c r="I34" s="4"/>
      <c r="J34" s="4">
        <v>40</v>
      </c>
      <c r="K34" s="19">
        <f t="shared" si="2"/>
        <v>66</v>
      </c>
    </row>
    <row r="35" spans="1:11" x14ac:dyDescent="0.25">
      <c r="A35" s="23" t="s">
        <v>137</v>
      </c>
      <c r="B35" s="24" t="s">
        <v>112</v>
      </c>
      <c r="C35" s="24" t="s">
        <v>138</v>
      </c>
      <c r="D35" s="24"/>
      <c r="E35" s="24"/>
      <c r="F35" s="3"/>
      <c r="G35" s="4"/>
      <c r="H35" s="4"/>
      <c r="I35" s="4"/>
      <c r="J35" s="4"/>
      <c r="K35" s="19">
        <v>108</v>
      </c>
    </row>
    <row r="36" spans="1:11" ht="15.75" thickBot="1" x14ac:dyDescent="0.3">
      <c r="A36" s="25"/>
      <c r="B36" s="26"/>
      <c r="C36" s="26"/>
      <c r="D36" s="26"/>
      <c r="E36" s="26"/>
      <c r="F36" s="16"/>
      <c r="G36" s="17"/>
      <c r="H36" s="17"/>
      <c r="I36" s="17"/>
      <c r="J36" s="17"/>
      <c r="K36" s="20"/>
    </row>
    <row r="37" spans="1:11" ht="20.100000000000001" customHeight="1" thickBot="1" x14ac:dyDescent="0.3">
      <c r="A37" s="11"/>
      <c r="B37" s="12"/>
      <c r="C37" s="13"/>
      <c r="D37" s="13"/>
      <c r="E37" s="14"/>
      <c r="F37" s="15"/>
      <c r="G37" s="28">
        <f>SUM(G3:G36)</f>
        <v>323</v>
      </c>
      <c r="H37" s="29">
        <f>SUM(H3:H36)</f>
        <v>171</v>
      </c>
      <c r="I37" s="29">
        <f>SUM(I3:I36)</f>
        <v>1831.1999999999998</v>
      </c>
      <c r="J37" s="29">
        <f>SUM(J3:J36)</f>
        <v>1550</v>
      </c>
      <c r="K37" s="30">
        <f>SUM(K3:K36)</f>
        <v>3983.1999999999994</v>
      </c>
    </row>
    <row r="38" spans="1:11" x14ac:dyDescent="0.25">
      <c r="A38" s="2"/>
      <c r="B38" s="2"/>
      <c r="C38" s="2"/>
      <c r="D38" s="2"/>
      <c r="E38" s="2"/>
      <c r="F38" s="2"/>
    </row>
  </sheetData>
  <mergeCells count="1">
    <mergeCell ref="A1:K1"/>
  </mergeCells>
  <printOptions horizontalCentered="1"/>
  <pageMargins left="0.7" right="0.7" top="0.75" bottom="0.75" header="0.3" footer="0.3"/>
  <pageSetup scale="56" fitToHeight="0" orientation="landscape" r:id="rId1"/>
  <ignoredErrors>
    <ignoredError sqref="K30" formula="1"/>
    <ignoredError sqref="A3:A8 A10:A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:N1"/>
  <sheetViews>
    <sheetView workbookViewId="0"/>
  </sheetViews>
  <sheetFormatPr defaultRowHeight="15" x14ac:dyDescent="0.25"/>
  <sheetData>
    <row r="1" spans="7:14" x14ac:dyDescent="0.25">
      <c r="G1">
        <v>120</v>
      </c>
      <c r="H1">
        <v>264</v>
      </c>
      <c r="I1">
        <v>1848</v>
      </c>
      <c r="J1">
        <v>1648.08</v>
      </c>
      <c r="K1">
        <v>345</v>
      </c>
      <c r="L1">
        <v>2026</v>
      </c>
      <c r="N1">
        <v>172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 Organizados</vt:lpstr>
      <vt:lpstr>__totals__</vt:lpstr>
      <vt:lpstr>'Dados Organizados'!Titulos_de_impressao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2026-04-01T13:44:04Z</dcterms:created>
  <dcterms:modified xsi:type="dcterms:W3CDTF">2026-05-21T14:10:03Z</dcterms:modified>
  <cp:category/>
</cp:coreProperties>
</file>